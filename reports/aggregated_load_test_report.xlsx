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ri\Desktop\"/>
    </mc:Choice>
  </mc:AlternateContent>
  <bookViews>
    <workbookView xWindow="0" yWindow="0" windowWidth="28800" windowHeight="12135" activeTab="4"/>
  </bookViews>
  <sheets>
    <sheet name="aggregated_data" sheetId="1" r:id="rId1"/>
    <sheet name="average_response_time" sheetId="2" r:id="rId2"/>
    <sheet name="95_percentile" sheetId="3" r:id="rId3"/>
    <sheet name="throughput" sheetId="4" r:id="rId4"/>
    <sheet name="aggregated_chart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2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B9" i="2" l="1"/>
  <c r="B3" i="2"/>
  <c r="B4" i="2"/>
  <c r="B5" i="2"/>
  <c r="B6" i="2"/>
  <c r="B7" i="2"/>
  <c r="B8" i="2"/>
  <c r="B10" i="2"/>
  <c r="B11" i="2"/>
  <c r="B12" i="2"/>
  <c r="B13" i="2"/>
  <c r="B14" i="2"/>
  <c r="B15" i="2"/>
  <c r="B16" i="2"/>
  <c r="B2" i="2"/>
</calcChain>
</file>

<file path=xl/sharedStrings.xml><?xml version="1.0" encoding="utf-8"?>
<sst xmlns="http://schemas.openxmlformats.org/spreadsheetml/2006/main" count="158" uniqueCount="32">
  <si>
    <t>Label</t>
  </si>
  <si>
    <t># Samples</t>
  </si>
  <si>
    <t>Average</t>
  </si>
  <si>
    <t>Median</t>
  </si>
  <si>
    <t>90% Line</t>
  </si>
  <si>
    <t>95% Line</t>
  </si>
  <si>
    <t>99% Line</t>
  </si>
  <si>
    <t>Min</t>
  </si>
  <si>
    <t>Max</t>
  </si>
  <si>
    <t>Error %</t>
  </si>
  <si>
    <t>Throughput</t>
  </si>
  <si>
    <t>Received KB/sec</t>
  </si>
  <si>
    <t>Sent KB/sec</t>
  </si>
  <si>
    <t>[GET] Homepage</t>
  </si>
  <si>
    <t>[GET] Select Category</t>
  </si>
  <si>
    <t>[GET] Select Sub-Category</t>
  </si>
  <si>
    <t>[GET] Product details</t>
  </si>
  <si>
    <t>[POST] Search product - Autocomplete</t>
  </si>
  <si>
    <t>[GET] Search</t>
  </si>
  <si>
    <t>[GET] Open Product - Search result</t>
  </si>
  <si>
    <t>[POST] Add product to cart</t>
  </si>
  <si>
    <t>[POST] Ajax Add to cart</t>
  </si>
  <si>
    <t>[GET] View cart</t>
  </si>
  <si>
    <t>[GET] Open Login page</t>
  </si>
  <si>
    <t>[POST] Login</t>
  </si>
  <si>
    <t>[POST] Update product quantity</t>
  </si>
  <si>
    <t>[POST] Ajax cart refresh</t>
  </si>
  <si>
    <t>[POST] Ajax update cart</t>
  </si>
  <si>
    <t>TOTAL</t>
  </si>
  <si>
    <t>Users</t>
  </si>
  <si>
    <t>Average response time (ms)</t>
  </si>
  <si>
    <t>95th Percentile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</si>
</sst>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2" borderId="0" xfId="0" applyFont="1" applyFill="1"/>
    <xf numFmtId="0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Average response time</a:t>
            </a:r>
          </a:p>
        </c:rich>
      </c:tx>
      <c:layout>
        <c:manualLayout>
          <c:xMode val="edge"/>
          <c:yMode val="edge"/>
          <c:x val="0.42953781996762602"/>
          <c:y val="6.40267792612879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573590496309914"/>
          <c:y val="5.4647438733079715E-2"/>
          <c:w val="0.6129436015619999"/>
          <c:h val="0.5076731021270563"/>
        </c:manualLayout>
      </c:layout>
      <c:lineChart>
        <c:grouping val="standard"/>
        <c:varyColors val="0"/>
        <c:ser>
          <c:idx val="0"/>
          <c:order val="0"/>
          <c:tx>
            <c:strRef>
              <c:f>average_response_time!$A$2</c:f>
              <c:strCache>
                <c:ptCount val="1"/>
                <c:pt idx="0">
                  <c:v>[GET] Homepage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average_response_time!$B$2:$G$2</c:f>
              <c:numCache>
                <c:formatCode>General</c:formatCode>
                <c:ptCount val="6"/>
                <c:pt idx="0">
                  <c:v>808</c:v>
                </c:pt>
                <c:pt idx="1">
                  <c:v>723</c:v>
                </c:pt>
                <c:pt idx="2">
                  <c:v>1622</c:v>
                </c:pt>
                <c:pt idx="3">
                  <c:v>10007</c:v>
                </c:pt>
                <c:pt idx="4">
                  <c:v>24687</c:v>
                </c:pt>
                <c:pt idx="5">
                  <c:v>58083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average_response_time!$A$3</c:f>
              <c:strCache>
                <c:ptCount val="1"/>
                <c:pt idx="0">
                  <c:v>[GET] Select Category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average_response_time!$B$3:$G$3</c:f>
              <c:numCache>
                <c:formatCode>General</c:formatCode>
                <c:ptCount val="6"/>
                <c:pt idx="0">
                  <c:v>316</c:v>
                </c:pt>
                <c:pt idx="1">
                  <c:v>103</c:v>
                </c:pt>
                <c:pt idx="2">
                  <c:v>250</c:v>
                </c:pt>
                <c:pt idx="3">
                  <c:v>2869</c:v>
                </c:pt>
                <c:pt idx="4">
                  <c:v>10304</c:v>
                </c:pt>
                <c:pt idx="5">
                  <c:v>23978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average_response_time!$A$4</c:f>
              <c:strCache>
                <c:ptCount val="1"/>
                <c:pt idx="0">
                  <c:v>[GET] Select Sub-Category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average_response_time!$B$4:$G$4</c:f>
              <c:numCache>
                <c:formatCode>General</c:formatCode>
                <c:ptCount val="6"/>
                <c:pt idx="0">
                  <c:v>387</c:v>
                </c:pt>
                <c:pt idx="1">
                  <c:v>274</c:v>
                </c:pt>
                <c:pt idx="2">
                  <c:v>431</c:v>
                </c:pt>
                <c:pt idx="3">
                  <c:v>2322</c:v>
                </c:pt>
                <c:pt idx="4">
                  <c:v>5995</c:v>
                </c:pt>
                <c:pt idx="5">
                  <c:v>13902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average_response_time!$A$5</c:f>
              <c:strCache>
                <c:ptCount val="1"/>
                <c:pt idx="0">
                  <c:v>[GET] Product details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average_response_time!$B$5:$G$5</c:f>
              <c:numCache>
                <c:formatCode>General</c:formatCode>
                <c:ptCount val="6"/>
                <c:pt idx="0">
                  <c:v>182</c:v>
                </c:pt>
                <c:pt idx="1">
                  <c:v>422</c:v>
                </c:pt>
                <c:pt idx="2">
                  <c:v>833</c:v>
                </c:pt>
                <c:pt idx="3">
                  <c:v>4864</c:v>
                </c:pt>
                <c:pt idx="4">
                  <c:v>13350</c:v>
                </c:pt>
                <c:pt idx="5">
                  <c:v>32201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average_response_time!$A$6</c:f>
              <c:strCache>
                <c:ptCount val="1"/>
                <c:pt idx="0">
                  <c:v>[POST] Search product - Autocomplete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average_response_time!$B$6:$G$6</c:f>
              <c:numCache>
                <c:formatCode>General</c:formatCode>
                <c:ptCount val="6"/>
                <c:pt idx="0">
                  <c:v>90</c:v>
                </c:pt>
                <c:pt idx="1">
                  <c:v>474</c:v>
                </c:pt>
                <c:pt idx="2">
                  <c:v>840</c:v>
                </c:pt>
                <c:pt idx="3">
                  <c:v>4521</c:v>
                </c:pt>
                <c:pt idx="4">
                  <c:v>12808</c:v>
                </c:pt>
                <c:pt idx="5">
                  <c:v>30899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average_response_time!$A$7</c:f>
              <c:strCache>
                <c:ptCount val="1"/>
                <c:pt idx="0">
                  <c:v>[GET] Search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average_response_time!$B$7:$G$7</c:f>
              <c:numCache>
                <c:formatCode>General</c:formatCode>
                <c:ptCount val="6"/>
                <c:pt idx="0">
                  <c:v>103</c:v>
                </c:pt>
                <c:pt idx="1">
                  <c:v>232</c:v>
                </c:pt>
                <c:pt idx="2">
                  <c:v>616</c:v>
                </c:pt>
                <c:pt idx="3">
                  <c:v>4880</c:v>
                </c:pt>
                <c:pt idx="4">
                  <c:v>13867</c:v>
                </c:pt>
                <c:pt idx="5">
                  <c:v>32343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average_response_time!$A$8</c:f>
              <c:strCache>
                <c:ptCount val="1"/>
                <c:pt idx="0">
                  <c:v>[GET] Open Product - Search result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average_response_time!$B$8:$G$8</c:f>
              <c:numCache>
                <c:formatCode>General</c:formatCode>
                <c:ptCount val="6"/>
                <c:pt idx="0">
                  <c:v>177</c:v>
                </c:pt>
                <c:pt idx="1">
                  <c:v>100</c:v>
                </c:pt>
                <c:pt idx="2">
                  <c:v>144</c:v>
                </c:pt>
                <c:pt idx="3">
                  <c:v>545</c:v>
                </c:pt>
                <c:pt idx="4">
                  <c:v>1658</c:v>
                </c:pt>
                <c:pt idx="5">
                  <c:v>3950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average_response_time!$A$9</c:f>
              <c:strCache>
                <c:ptCount val="1"/>
                <c:pt idx="0">
                  <c:v>[POST] Add product to cart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average_response_time!$B$9:$G$9</c:f>
              <c:numCache>
                <c:formatCode>General</c:formatCode>
                <c:ptCount val="6"/>
                <c:pt idx="0">
                  <c:v>72</c:v>
                </c:pt>
                <c:pt idx="1">
                  <c:v>124</c:v>
                </c:pt>
                <c:pt idx="2">
                  <c:v>223</c:v>
                </c:pt>
                <c:pt idx="3">
                  <c:v>718</c:v>
                </c:pt>
                <c:pt idx="4">
                  <c:v>3115</c:v>
                </c:pt>
                <c:pt idx="5">
                  <c:v>7183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average_response_time!$A$10</c:f>
              <c:strCache>
                <c:ptCount val="1"/>
                <c:pt idx="0">
                  <c:v>[POST] Ajax Add to cart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average_response_time!$B$10:$G$10</c:f>
              <c:numCache>
                <c:formatCode>General</c:formatCode>
                <c:ptCount val="6"/>
                <c:pt idx="0">
                  <c:v>54</c:v>
                </c:pt>
                <c:pt idx="1">
                  <c:v>220</c:v>
                </c:pt>
                <c:pt idx="2">
                  <c:v>482</c:v>
                </c:pt>
                <c:pt idx="3">
                  <c:v>127</c:v>
                </c:pt>
                <c:pt idx="4">
                  <c:v>7172</c:v>
                </c:pt>
                <c:pt idx="5">
                  <c:v>17018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average_response_time!$A$11</c:f>
              <c:strCache>
                <c:ptCount val="1"/>
                <c:pt idx="0">
                  <c:v>[GET] View cart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average_response_time!$B$11:$G$11</c:f>
              <c:numCache>
                <c:formatCode>General</c:formatCode>
                <c:ptCount val="6"/>
                <c:pt idx="0">
                  <c:v>112</c:v>
                </c:pt>
                <c:pt idx="1">
                  <c:v>86</c:v>
                </c:pt>
                <c:pt idx="2">
                  <c:v>150</c:v>
                </c:pt>
                <c:pt idx="3">
                  <c:v>1339</c:v>
                </c:pt>
                <c:pt idx="4">
                  <c:v>2653</c:v>
                </c:pt>
                <c:pt idx="5">
                  <c:v>6305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average_response_time!$A$12</c:f>
              <c:strCache>
                <c:ptCount val="1"/>
                <c:pt idx="0">
                  <c:v>[GET] Open Login page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average_response_time!$B$12:$G$12</c:f>
              <c:numCache>
                <c:formatCode>General</c:formatCode>
                <c:ptCount val="6"/>
                <c:pt idx="0">
                  <c:v>95</c:v>
                </c:pt>
                <c:pt idx="1">
                  <c:v>61</c:v>
                </c:pt>
                <c:pt idx="2">
                  <c:v>71</c:v>
                </c:pt>
                <c:pt idx="3">
                  <c:v>235</c:v>
                </c:pt>
                <c:pt idx="4">
                  <c:v>286</c:v>
                </c:pt>
                <c:pt idx="5">
                  <c:v>868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average_response_time!$A$13</c:f>
              <c:strCache>
                <c:ptCount val="1"/>
                <c:pt idx="0">
                  <c:v>[POST] Login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average_response_time!$B$1:$G$1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average_response_time!$B$13:$G$13</c:f>
              <c:numCache>
                <c:formatCode>General</c:formatCode>
                <c:ptCount val="6"/>
                <c:pt idx="0">
                  <c:v>258</c:v>
                </c:pt>
                <c:pt idx="1">
                  <c:v>115</c:v>
                </c:pt>
                <c:pt idx="2">
                  <c:v>148</c:v>
                </c:pt>
                <c:pt idx="3">
                  <c:v>2910</c:v>
                </c:pt>
                <c:pt idx="4">
                  <c:v>478</c:v>
                </c:pt>
                <c:pt idx="5">
                  <c:v>1252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906752"/>
        <c:axId val="1263900768"/>
        <c:extLst>
          <c:ext xmlns:c15="http://schemas.microsoft.com/office/drawing/2012/chart" uri="{02D57815-91ED-43cb-92C2-25804820EDAC}">
            <c15:filteredLine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average_response_time!$A$14</c15:sqref>
                        </c15:formulaRef>
                      </c:ext>
                    </c:extLst>
                    <c:strCache>
                      <c:ptCount val="1"/>
                      <c:pt idx="0">
                        <c:v>[POST] Update product quantity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average_response_time!$B$1:$G$1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10</c:v>
                      </c:pt>
                      <c:pt idx="2">
                        <c:v>30</c:v>
                      </c:pt>
                      <c:pt idx="3">
                        <c:v>50</c:v>
                      </c:pt>
                      <c:pt idx="4">
                        <c:v>100</c:v>
                      </c:pt>
                      <c:pt idx="5">
                        <c:v>200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average_response_time!$B$14:$G$14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79</c:v>
                      </c:pt>
                      <c:pt idx="1">
                        <c:v>83</c:v>
                      </c:pt>
                      <c:pt idx="2">
                        <c:v>163</c:v>
                      </c:pt>
                      <c:pt idx="3">
                        <c:v>565</c:v>
                      </c:pt>
                      <c:pt idx="4">
                        <c:v>509</c:v>
                      </c:pt>
                      <c:pt idx="5">
                        <c:v>591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average_response_time!$A$15</c15:sqref>
                        </c15:formulaRef>
                      </c:ext>
                    </c:extLst>
                    <c:strCache>
                      <c:ptCount val="1"/>
                      <c:pt idx="0">
                        <c:v>[POST] Ajax cart refresh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average_response_time!$B$1:$G$1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10</c:v>
                      </c:pt>
                      <c:pt idx="2">
                        <c:v>30</c:v>
                      </c:pt>
                      <c:pt idx="3">
                        <c:v>50</c:v>
                      </c:pt>
                      <c:pt idx="4">
                        <c:v>100</c:v>
                      </c:pt>
                      <c:pt idx="5">
                        <c:v>200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average_response_time!$B$15:$G$15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73</c:v>
                      </c:pt>
                      <c:pt idx="1">
                        <c:v>69</c:v>
                      </c:pt>
                      <c:pt idx="2">
                        <c:v>97</c:v>
                      </c:pt>
                      <c:pt idx="3">
                        <c:v>111</c:v>
                      </c:pt>
                      <c:pt idx="4">
                        <c:v>318</c:v>
                      </c:pt>
                      <c:pt idx="5">
                        <c:v>267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average_response_time!$A$16</c15:sqref>
                        </c15:formulaRef>
                      </c:ext>
                    </c:extLst>
                    <c:strCache>
                      <c:ptCount val="1"/>
                      <c:pt idx="0">
                        <c:v>[POST] Ajax update cart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average_response_time!$B$1:$G$1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10</c:v>
                      </c:pt>
                      <c:pt idx="2">
                        <c:v>30</c:v>
                      </c:pt>
                      <c:pt idx="3">
                        <c:v>50</c:v>
                      </c:pt>
                      <c:pt idx="4">
                        <c:v>100</c:v>
                      </c:pt>
                      <c:pt idx="5">
                        <c:v>200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average_response_time!$B$16:$G$16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60</c:v>
                      </c:pt>
                      <c:pt idx="1">
                        <c:v>59</c:v>
                      </c:pt>
                      <c:pt idx="2">
                        <c:v>75</c:v>
                      </c:pt>
                      <c:pt idx="3">
                        <c:v>78</c:v>
                      </c:pt>
                      <c:pt idx="4">
                        <c:v>199</c:v>
                      </c:pt>
                      <c:pt idx="5">
                        <c:v>283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26390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Virtual Users</a:t>
                </a:r>
              </a:p>
            </c:rich>
          </c:tx>
          <c:layout>
            <c:manualLayout>
              <c:xMode val="edge"/>
              <c:yMode val="edge"/>
              <c:x val="6.4345322688322493E-2"/>
              <c:y val="0.54841783117031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00768"/>
        <c:crosses val="autoZero"/>
        <c:auto val="1"/>
        <c:lblAlgn val="ctr"/>
        <c:lblOffset val="100"/>
        <c:noMultiLvlLbl val="0"/>
      </c:catAx>
      <c:valAx>
        <c:axId val="126390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Response time (ms)</a:t>
                </a:r>
              </a:p>
              <a:p>
                <a:pPr>
                  <a:defRPr/>
                </a:pPr>
                <a:endParaRPr lang="en-US" sz="1600"/>
              </a:p>
            </c:rich>
          </c:tx>
          <c:layout>
            <c:manualLayout>
              <c:xMode val="edge"/>
              <c:yMode val="edge"/>
              <c:x val="6.9627131135828649E-2"/>
              <c:y val="0.15985855212800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06752"/>
        <c:crosses val="autoZero"/>
        <c:crossBetween val="between"/>
        <c:majorUnit val="5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0256797168647"/>
          <c:y val="0.11227786133474889"/>
          <c:w val="0.15031881383490658"/>
          <c:h val="0.712149314668999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>
        <a:schemeClr val="accent1">
          <a:alpha val="40000"/>
        </a:schemeClr>
      </a:glow>
    </a:effectLst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95th Percentile</a:t>
            </a:r>
          </a:p>
        </c:rich>
      </c:tx>
      <c:layout>
        <c:manualLayout>
          <c:xMode val="edge"/>
          <c:yMode val="edge"/>
          <c:x val="0.42953781996762602"/>
          <c:y val="6.40267792612879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573590496309914"/>
          <c:y val="5.4647438733079715E-2"/>
          <c:w val="0.6129436015619999"/>
          <c:h val="0.5076731021270563"/>
        </c:manualLayout>
      </c:layout>
      <c:lineChart>
        <c:grouping val="standard"/>
        <c:varyColors val="0"/>
        <c:ser>
          <c:idx val="1"/>
          <c:order val="1"/>
          <c:tx>
            <c:strRef>
              <c:f>'95_percentile'!$A$2</c:f>
              <c:strCache>
                <c:ptCount val="1"/>
                <c:pt idx="0">
                  <c:v>[GET] Homepage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'95_percentile'!$B$2:$G$2</c:f>
              <c:numCache>
                <c:formatCode>General</c:formatCode>
                <c:ptCount val="6"/>
                <c:pt idx="0">
                  <c:v>1378</c:v>
                </c:pt>
                <c:pt idx="1">
                  <c:v>1444</c:v>
                </c:pt>
                <c:pt idx="2">
                  <c:v>2704</c:v>
                </c:pt>
                <c:pt idx="3">
                  <c:v>13914</c:v>
                </c:pt>
                <c:pt idx="4">
                  <c:v>42382</c:v>
                </c:pt>
                <c:pt idx="5">
                  <c:v>99199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'95_percentile'!$A$3</c:f>
              <c:strCache>
                <c:ptCount val="1"/>
                <c:pt idx="0">
                  <c:v>[GET] Select Category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'95_percentile'!$B$3:$G$3</c:f>
              <c:numCache>
                <c:formatCode>General</c:formatCode>
                <c:ptCount val="6"/>
                <c:pt idx="0">
                  <c:v>544</c:v>
                </c:pt>
                <c:pt idx="1">
                  <c:v>136</c:v>
                </c:pt>
                <c:pt idx="2">
                  <c:v>937</c:v>
                </c:pt>
                <c:pt idx="3">
                  <c:v>6458</c:v>
                </c:pt>
                <c:pt idx="4">
                  <c:v>17183</c:v>
                </c:pt>
                <c:pt idx="5">
                  <c:v>37765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'95_percentile'!$A$4</c:f>
              <c:strCache>
                <c:ptCount val="1"/>
                <c:pt idx="0">
                  <c:v>[GET] Select Sub-Category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'95_percentile'!$B$4:$G$4</c:f>
              <c:numCache>
                <c:formatCode>General</c:formatCode>
                <c:ptCount val="6"/>
                <c:pt idx="0">
                  <c:v>621</c:v>
                </c:pt>
                <c:pt idx="1">
                  <c:v>330</c:v>
                </c:pt>
                <c:pt idx="2">
                  <c:v>989</c:v>
                </c:pt>
                <c:pt idx="3">
                  <c:v>4865</c:v>
                </c:pt>
                <c:pt idx="4">
                  <c:v>9552</c:v>
                </c:pt>
                <c:pt idx="5">
                  <c:v>31014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'95_percentile'!$A$5</c:f>
              <c:strCache>
                <c:ptCount val="1"/>
                <c:pt idx="0">
                  <c:v>[GET] Product details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'95_percentile'!$B$5:$G$5</c:f>
              <c:numCache>
                <c:formatCode>General</c:formatCode>
                <c:ptCount val="6"/>
                <c:pt idx="0">
                  <c:v>249</c:v>
                </c:pt>
                <c:pt idx="1">
                  <c:v>795</c:v>
                </c:pt>
                <c:pt idx="2">
                  <c:v>1915</c:v>
                </c:pt>
                <c:pt idx="3">
                  <c:v>9946</c:v>
                </c:pt>
                <c:pt idx="4">
                  <c:v>31728</c:v>
                </c:pt>
                <c:pt idx="5">
                  <c:v>72304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'95_percentile'!$A$6</c:f>
              <c:strCache>
                <c:ptCount val="1"/>
                <c:pt idx="0">
                  <c:v>[POST] Search product - Autocomplete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'95_percentile'!$B$6:$G$6</c:f>
              <c:numCache>
                <c:formatCode>General</c:formatCode>
                <c:ptCount val="6"/>
                <c:pt idx="0">
                  <c:v>153</c:v>
                </c:pt>
                <c:pt idx="1">
                  <c:v>882</c:v>
                </c:pt>
                <c:pt idx="2">
                  <c:v>1845</c:v>
                </c:pt>
                <c:pt idx="3">
                  <c:v>9682</c:v>
                </c:pt>
                <c:pt idx="4">
                  <c:v>31942</c:v>
                </c:pt>
                <c:pt idx="5">
                  <c:v>73774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'95_percentile'!$A$7</c:f>
              <c:strCache>
                <c:ptCount val="1"/>
                <c:pt idx="0">
                  <c:v>[GET] Search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'95_percentile'!$B$7:$G$7</c:f>
              <c:numCache>
                <c:formatCode>General</c:formatCode>
                <c:ptCount val="6"/>
                <c:pt idx="0">
                  <c:v>142</c:v>
                </c:pt>
                <c:pt idx="1">
                  <c:v>338</c:v>
                </c:pt>
                <c:pt idx="2">
                  <c:v>1471</c:v>
                </c:pt>
                <c:pt idx="3">
                  <c:v>8946</c:v>
                </c:pt>
                <c:pt idx="4">
                  <c:v>28992</c:v>
                </c:pt>
                <c:pt idx="5">
                  <c:v>67269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'95_percentile'!$A$8</c:f>
              <c:strCache>
                <c:ptCount val="1"/>
                <c:pt idx="0">
                  <c:v>[GET] Open Product - Search result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'95_percentile'!$B$8:$G$8</c:f>
              <c:numCache>
                <c:formatCode>General</c:formatCode>
                <c:ptCount val="6"/>
                <c:pt idx="0">
                  <c:v>219</c:v>
                </c:pt>
                <c:pt idx="1">
                  <c:v>165</c:v>
                </c:pt>
                <c:pt idx="2">
                  <c:v>419</c:v>
                </c:pt>
                <c:pt idx="3">
                  <c:v>3121</c:v>
                </c:pt>
                <c:pt idx="4">
                  <c:v>8160</c:v>
                </c:pt>
                <c:pt idx="5">
                  <c:v>17779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'95_percentile'!$A$9</c:f>
              <c:strCache>
                <c:ptCount val="1"/>
                <c:pt idx="0">
                  <c:v>[POST] Add product to cart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'95_percentile'!$B$9:$G$9</c:f>
              <c:numCache>
                <c:formatCode>General</c:formatCode>
                <c:ptCount val="6"/>
                <c:pt idx="0">
                  <c:v>84</c:v>
                </c:pt>
                <c:pt idx="1">
                  <c:v>199</c:v>
                </c:pt>
                <c:pt idx="2">
                  <c:v>681</c:v>
                </c:pt>
                <c:pt idx="3">
                  <c:v>3668</c:v>
                </c:pt>
                <c:pt idx="4">
                  <c:v>8799</c:v>
                </c:pt>
                <c:pt idx="5">
                  <c:v>19697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'95_percentile'!$A$10</c:f>
              <c:strCache>
                <c:ptCount val="1"/>
                <c:pt idx="0">
                  <c:v>[POST] Ajax Add to cart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'95_percentile'!$B$10:$G$10</c:f>
              <c:numCache>
                <c:formatCode>General</c:formatCode>
                <c:ptCount val="6"/>
                <c:pt idx="0">
                  <c:v>60</c:v>
                </c:pt>
                <c:pt idx="1">
                  <c:v>306</c:v>
                </c:pt>
                <c:pt idx="2">
                  <c:v>1139</c:v>
                </c:pt>
                <c:pt idx="3">
                  <c:v>88</c:v>
                </c:pt>
                <c:pt idx="4">
                  <c:v>18005</c:v>
                </c:pt>
                <c:pt idx="5">
                  <c:v>42523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'95_percentile'!$A$11</c:f>
              <c:strCache>
                <c:ptCount val="1"/>
                <c:pt idx="0">
                  <c:v>[GET] View cart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'95_percentile'!$B$11:$G$11</c:f>
              <c:numCache>
                <c:formatCode>General</c:formatCode>
                <c:ptCount val="6"/>
                <c:pt idx="0">
                  <c:v>145</c:v>
                </c:pt>
                <c:pt idx="1">
                  <c:v>112</c:v>
                </c:pt>
                <c:pt idx="2">
                  <c:v>535</c:v>
                </c:pt>
                <c:pt idx="3">
                  <c:v>4042</c:v>
                </c:pt>
                <c:pt idx="4">
                  <c:v>8659</c:v>
                </c:pt>
                <c:pt idx="5">
                  <c:v>18687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'95_percentile'!$A$12</c:f>
              <c:strCache>
                <c:ptCount val="1"/>
                <c:pt idx="0">
                  <c:v>[GET] Open Login page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'95_percentile'!$B$12:$G$12</c:f>
              <c:numCache>
                <c:formatCode>General</c:formatCode>
                <c:ptCount val="6"/>
                <c:pt idx="0">
                  <c:v>146</c:v>
                </c:pt>
                <c:pt idx="1">
                  <c:v>77</c:v>
                </c:pt>
                <c:pt idx="2">
                  <c:v>94</c:v>
                </c:pt>
                <c:pt idx="3">
                  <c:v>194</c:v>
                </c:pt>
                <c:pt idx="4">
                  <c:v>99</c:v>
                </c:pt>
                <c:pt idx="5">
                  <c:v>102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'95_percentile'!$A$13</c:f>
              <c:strCache>
                <c:ptCount val="1"/>
                <c:pt idx="0">
                  <c:v>[POST] Login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'95_percentile'!$B$13:$G$13</c:f>
              <c:numCache>
                <c:formatCode>General</c:formatCode>
                <c:ptCount val="6"/>
                <c:pt idx="0">
                  <c:v>254</c:v>
                </c:pt>
                <c:pt idx="1">
                  <c:v>155</c:v>
                </c:pt>
                <c:pt idx="2">
                  <c:v>303</c:v>
                </c:pt>
                <c:pt idx="3">
                  <c:v>6413</c:v>
                </c:pt>
                <c:pt idx="4">
                  <c:v>359</c:v>
                </c:pt>
                <c:pt idx="5">
                  <c:v>1062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'95_percentile'!$A$14</c:f>
              <c:strCache>
                <c:ptCount val="1"/>
                <c:pt idx="0">
                  <c:v>[POST] Update product quantity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'95_percentile'!$B$1:$G$1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'95_percentile'!$B$14:$G$14</c:f>
              <c:numCache>
                <c:formatCode>General</c:formatCode>
                <c:ptCount val="6"/>
                <c:pt idx="0">
                  <c:v>89</c:v>
                </c:pt>
                <c:pt idx="1">
                  <c:v>108</c:v>
                </c:pt>
                <c:pt idx="2">
                  <c:v>531</c:v>
                </c:pt>
                <c:pt idx="3">
                  <c:v>3770</c:v>
                </c:pt>
                <c:pt idx="4">
                  <c:v>945</c:v>
                </c:pt>
                <c:pt idx="5">
                  <c:v>831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878096"/>
        <c:axId val="13048759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'95_percentile'!$A$1</c15:sqref>
                        </c15:formulaRef>
                      </c:ext>
                    </c:extLst>
                    <c:strCache>
                      <c:ptCount val="1"/>
                      <c:pt idx="0">
                        <c:v>95th Percentile (ms)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'95_percentile'!$B$1:$G$1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10</c:v>
                      </c:pt>
                      <c:pt idx="2">
                        <c:v>30</c:v>
                      </c:pt>
                      <c:pt idx="3">
                        <c:v>50</c:v>
                      </c:pt>
                      <c:pt idx="4">
                        <c:v>100</c:v>
                      </c:pt>
                      <c:pt idx="5">
                        <c:v>200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'95_percentile'!$B$1:$G$1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10</c:v>
                      </c:pt>
                      <c:pt idx="2">
                        <c:v>30</c:v>
                      </c:pt>
                      <c:pt idx="3">
                        <c:v>50</c:v>
                      </c:pt>
                      <c:pt idx="4">
                        <c:v>100</c:v>
                      </c:pt>
                      <c:pt idx="5">
                        <c:v>200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'95_percentile'!$A$15</c15:sqref>
                        </c15:formulaRef>
                      </c:ext>
                    </c:extLst>
                    <c:strCache>
                      <c:ptCount val="1"/>
                      <c:pt idx="0">
                        <c:v>[POST] Ajax cart refresh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'95_percentile'!$B$1:$G$1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10</c:v>
                      </c:pt>
                      <c:pt idx="2">
                        <c:v>30</c:v>
                      </c:pt>
                      <c:pt idx="3">
                        <c:v>50</c:v>
                      </c:pt>
                      <c:pt idx="4">
                        <c:v>100</c:v>
                      </c:pt>
                      <c:pt idx="5">
                        <c:v>200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'95_percentile'!$B$15:$G$15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93</c:v>
                      </c:pt>
                      <c:pt idx="1">
                        <c:v>97</c:v>
                      </c:pt>
                      <c:pt idx="2">
                        <c:v>149</c:v>
                      </c:pt>
                      <c:pt idx="3">
                        <c:v>103</c:v>
                      </c:pt>
                      <c:pt idx="4">
                        <c:v>132</c:v>
                      </c:pt>
                      <c:pt idx="5">
                        <c:v>106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'95_percentile'!$A$16</c15:sqref>
                        </c15:formulaRef>
                      </c:ext>
                    </c:extLst>
                    <c:strCache>
                      <c:ptCount val="1"/>
                      <c:pt idx="0">
                        <c:v>[POST] Ajax update cart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'95_percentile'!$B$1:$G$1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10</c:v>
                      </c:pt>
                      <c:pt idx="2">
                        <c:v>30</c:v>
                      </c:pt>
                      <c:pt idx="3">
                        <c:v>50</c:v>
                      </c:pt>
                      <c:pt idx="4">
                        <c:v>100</c:v>
                      </c:pt>
                      <c:pt idx="5">
                        <c:v>200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'95_percentile'!$B$16:$G$16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65</c:v>
                      </c:pt>
                      <c:pt idx="1">
                        <c:v>70</c:v>
                      </c:pt>
                      <c:pt idx="2">
                        <c:v>99</c:v>
                      </c:pt>
                      <c:pt idx="3">
                        <c:v>83</c:v>
                      </c:pt>
                      <c:pt idx="4">
                        <c:v>84</c:v>
                      </c:pt>
                      <c:pt idx="5">
                        <c:v>81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30487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Virtual Users</a:t>
                </a:r>
              </a:p>
            </c:rich>
          </c:tx>
          <c:layout>
            <c:manualLayout>
              <c:xMode val="edge"/>
              <c:yMode val="edge"/>
              <c:x val="6.4345322688322493E-2"/>
              <c:y val="0.54841783117031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875920"/>
        <c:crosses val="autoZero"/>
        <c:auto val="1"/>
        <c:lblAlgn val="ctr"/>
        <c:lblOffset val="100"/>
        <c:noMultiLvlLbl val="0"/>
      </c:catAx>
      <c:valAx>
        <c:axId val="13048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Response time (ms)</a:t>
                </a:r>
              </a:p>
              <a:p>
                <a:pPr>
                  <a:defRPr/>
                </a:pPr>
                <a:endParaRPr lang="en-US" sz="1600"/>
              </a:p>
            </c:rich>
          </c:tx>
          <c:layout>
            <c:manualLayout>
              <c:xMode val="edge"/>
              <c:yMode val="edge"/>
              <c:x val="6.9627131135828649E-2"/>
              <c:y val="0.15985855212800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878096"/>
        <c:crosses val="autoZero"/>
        <c:crossBetween val="between"/>
        <c:majorUnit val="5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0256797168647"/>
          <c:y val="0.11227786133474889"/>
          <c:w val="0.15997432028313535"/>
          <c:h val="0.426864329705822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>
        <a:schemeClr val="accent1">
          <a:alpha val="40000"/>
        </a:schemeClr>
      </a:glow>
    </a:effectLst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Throughput</a:t>
            </a:r>
          </a:p>
        </c:rich>
      </c:tx>
      <c:layout>
        <c:manualLayout>
          <c:xMode val="edge"/>
          <c:yMode val="edge"/>
          <c:x val="0.44533340649491976"/>
          <c:y val="8.15937533500012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573590496309914"/>
          <c:y val="5.4647438733079715E-2"/>
          <c:w val="0.6129436015619999"/>
          <c:h val="0.5076731021270563"/>
        </c:manualLayout>
      </c:layout>
      <c:lineChart>
        <c:grouping val="standard"/>
        <c:varyColors val="0"/>
        <c:ser>
          <c:idx val="0"/>
          <c:order val="0"/>
          <c:tx>
            <c:strRef>
              <c:f>throughput!$A$2</c:f>
              <c:strCache>
                <c:ptCount val="1"/>
                <c:pt idx="0">
                  <c:v>[GET] Homepage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throughput!$B$2:$G$2</c:f>
              <c:numCache>
                <c:formatCode>General</c:formatCode>
                <c:ptCount val="6"/>
                <c:pt idx="0">
                  <c:v>0.10122</c:v>
                </c:pt>
                <c:pt idx="1">
                  <c:v>0.98111000000000004</c:v>
                </c:pt>
                <c:pt idx="2">
                  <c:v>2.1576200000000001</c:v>
                </c:pt>
                <c:pt idx="3">
                  <c:v>1.5089300000000001</c:v>
                </c:pt>
                <c:pt idx="4">
                  <c:v>1.1667400000000001</c:v>
                </c:pt>
                <c:pt idx="5">
                  <c:v>1.06104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throughput!$A$3</c:f>
              <c:strCache>
                <c:ptCount val="1"/>
                <c:pt idx="0">
                  <c:v>[GET] Select Category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throughput!$B$3:$G$3</c:f>
              <c:numCache>
                <c:formatCode>General</c:formatCode>
                <c:ptCount val="6"/>
                <c:pt idx="0">
                  <c:v>7.2120000000000004E-2</c:v>
                </c:pt>
                <c:pt idx="1">
                  <c:v>0.30481000000000003</c:v>
                </c:pt>
                <c:pt idx="2">
                  <c:v>0.68072999999999995</c:v>
                </c:pt>
                <c:pt idx="3">
                  <c:v>0.50836999999999999</c:v>
                </c:pt>
                <c:pt idx="4">
                  <c:v>0.39456999999999998</c:v>
                </c:pt>
                <c:pt idx="5">
                  <c:v>0.35901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throughput!$A$4</c:f>
              <c:strCache>
                <c:ptCount val="1"/>
                <c:pt idx="0">
                  <c:v>[GET] Select Sub-Category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throughput!$B$4:$G$4</c:f>
              <c:numCache>
                <c:formatCode>General</c:formatCode>
                <c:ptCount val="6"/>
                <c:pt idx="0">
                  <c:v>7.2109999999999994E-2</c:v>
                </c:pt>
                <c:pt idx="1">
                  <c:v>0.30486000000000002</c:v>
                </c:pt>
                <c:pt idx="2">
                  <c:v>0.68071000000000004</c:v>
                </c:pt>
                <c:pt idx="3">
                  <c:v>0.50824999999999998</c:v>
                </c:pt>
                <c:pt idx="4">
                  <c:v>0.39357999999999999</c:v>
                </c:pt>
                <c:pt idx="5">
                  <c:v>0.35629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throughput!$A$5</c:f>
              <c:strCache>
                <c:ptCount val="1"/>
                <c:pt idx="0">
                  <c:v>[GET] Product details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throughput!$B$5:$G$5</c:f>
              <c:numCache>
                <c:formatCode>General</c:formatCode>
                <c:ptCount val="6"/>
                <c:pt idx="0">
                  <c:v>7.2190000000000004E-2</c:v>
                </c:pt>
                <c:pt idx="1">
                  <c:v>0.70862999999999998</c:v>
                </c:pt>
                <c:pt idx="2">
                  <c:v>1.55796</c:v>
                </c:pt>
                <c:pt idx="3">
                  <c:v>1.08833</c:v>
                </c:pt>
                <c:pt idx="4">
                  <c:v>0.83343999999999996</c:v>
                </c:pt>
                <c:pt idx="5">
                  <c:v>0.74765000000000004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throughput!$A$6</c:f>
              <c:strCache>
                <c:ptCount val="1"/>
                <c:pt idx="0">
                  <c:v>[POST] Search product - Autocomplete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throughput!$B$6:$G$6</c:f>
              <c:numCache>
                <c:formatCode>General</c:formatCode>
                <c:ptCount val="6"/>
                <c:pt idx="0">
                  <c:v>9.1230000000000006E-2</c:v>
                </c:pt>
                <c:pt idx="1">
                  <c:v>0.70887</c:v>
                </c:pt>
                <c:pt idx="2">
                  <c:v>1.5584800000000001</c:v>
                </c:pt>
                <c:pt idx="3">
                  <c:v>1.08731</c:v>
                </c:pt>
                <c:pt idx="4">
                  <c:v>0.82967999999999997</c:v>
                </c:pt>
                <c:pt idx="5">
                  <c:v>0.73685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throughput!$A$7</c:f>
              <c:strCache>
                <c:ptCount val="1"/>
                <c:pt idx="0">
                  <c:v>[GET] Search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throughput!$B$7:$G$7</c:f>
              <c:numCache>
                <c:formatCode>General</c:formatCode>
                <c:ptCount val="6"/>
                <c:pt idx="0">
                  <c:v>3.0429999999999999E-2</c:v>
                </c:pt>
                <c:pt idx="1">
                  <c:v>0.70884999999999998</c:v>
                </c:pt>
                <c:pt idx="2">
                  <c:v>1.55833</c:v>
                </c:pt>
                <c:pt idx="3">
                  <c:v>1.0872299999999999</c:v>
                </c:pt>
                <c:pt idx="4">
                  <c:v>0.82599</c:v>
                </c:pt>
                <c:pt idx="5">
                  <c:v>0.73316000000000003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throughput!$A$8</c:f>
              <c:strCache>
                <c:ptCount val="1"/>
                <c:pt idx="0">
                  <c:v>[GET] Open Product - Search result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throughput!$B$8:$G$8</c:f>
              <c:numCache>
                <c:formatCode>General</c:formatCode>
                <c:ptCount val="6"/>
                <c:pt idx="0">
                  <c:v>3.0419999999999999E-2</c:v>
                </c:pt>
                <c:pt idx="1">
                  <c:v>0.88349999999999995</c:v>
                </c:pt>
                <c:pt idx="2">
                  <c:v>1.9439299999999999</c:v>
                </c:pt>
                <c:pt idx="3">
                  <c:v>1.3525</c:v>
                </c:pt>
                <c:pt idx="4">
                  <c:v>1.0317499999999999</c:v>
                </c:pt>
                <c:pt idx="5">
                  <c:v>0.91608999999999996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throughput!$A$9</c:f>
              <c:strCache>
                <c:ptCount val="1"/>
                <c:pt idx="0">
                  <c:v>[POST] Add product to cart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throughput!$B$9:$G$9</c:f>
              <c:numCache>
                <c:formatCode>General</c:formatCode>
                <c:ptCount val="6"/>
                <c:pt idx="0">
                  <c:v>2.368E-2</c:v>
                </c:pt>
                <c:pt idx="1">
                  <c:v>0.29475000000000001</c:v>
                </c:pt>
                <c:pt idx="2">
                  <c:v>0.64798</c:v>
                </c:pt>
                <c:pt idx="3">
                  <c:v>0.33537</c:v>
                </c:pt>
                <c:pt idx="4">
                  <c:v>0.34426000000000001</c:v>
                </c:pt>
                <c:pt idx="5">
                  <c:v>0.30507000000000001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throughput!$A$10</c:f>
              <c:strCache>
                <c:ptCount val="1"/>
                <c:pt idx="0">
                  <c:v>[POST] Ajax Add to cart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throughput!$B$10:$G$10</c:f>
              <c:numCache>
                <c:formatCode>General</c:formatCode>
                <c:ptCount val="6"/>
                <c:pt idx="0">
                  <c:v>2.368E-2</c:v>
                </c:pt>
                <c:pt idx="1">
                  <c:v>0.29468</c:v>
                </c:pt>
                <c:pt idx="2">
                  <c:v>0.64802999999999999</c:v>
                </c:pt>
                <c:pt idx="3">
                  <c:v>0.33538000000000001</c:v>
                </c:pt>
                <c:pt idx="4">
                  <c:v>0.34256999999999999</c:v>
                </c:pt>
                <c:pt idx="5">
                  <c:v>0.30415999999999999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throughput!$A$11</c:f>
              <c:strCache>
                <c:ptCount val="1"/>
                <c:pt idx="0">
                  <c:v>[GET] View cart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throughput!$B$11:$G$11</c:f>
              <c:numCache>
                <c:formatCode>General</c:formatCode>
                <c:ptCount val="6"/>
                <c:pt idx="0">
                  <c:v>2.631E-2</c:v>
                </c:pt>
                <c:pt idx="1">
                  <c:v>0.21804000000000001</c:v>
                </c:pt>
                <c:pt idx="2">
                  <c:v>0.48150999999999999</c:v>
                </c:pt>
                <c:pt idx="3">
                  <c:v>0.45106000000000002</c:v>
                </c:pt>
                <c:pt idx="4">
                  <c:v>0.25594</c:v>
                </c:pt>
                <c:pt idx="5">
                  <c:v>0.22416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throughput!$A$12</c:f>
              <c:strCache>
                <c:ptCount val="1"/>
                <c:pt idx="0">
                  <c:v>[GET] Open Login page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throughput!$B$12:$G$12</c:f>
              <c:numCache>
                <c:formatCode>General</c:formatCode>
                <c:ptCount val="6"/>
                <c:pt idx="0">
                  <c:v>8.1449999999999995E-2</c:v>
                </c:pt>
                <c:pt idx="1">
                  <c:v>0.21804000000000001</c:v>
                </c:pt>
                <c:pt idx="2">
                  <c:v>0.48150999999999999</c:v>
                </c:pt>
                <c:pt idx="3">
                  <c:v>0.37062</c:v>
                </c:pt>
                <c:pt idx="4">
                  <c:v>0.25594</c:v>
                </c:pt>
                <c:pt idx="5">
                  <c:v>0.22500000000000001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throughput!$A$13</c:f>
              <c:strCache>
                <c:ptCount val="1"/>
                <c:pt idx="0">
                  <c:v>[POST] Login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throughput!$B$13:$G$13</c:f>
              <c:numCache>
                <c:formatCode>General</c:formatCode>
                <c:ptCount val="6"/>
                <c:pt idx="0">
                  <c:v>8.1379999999999994E-2</c:v>
                </c:pt>
                <c:pt idx="1">
                  <c:v>0.23929</c:v>
                </c:pt>
                <c:pt idx="2">
                  <c:v>0.52927000000000002</c:v>
                </c:pt>
                <c:pt idx="3">
                  <c:v>0.45058999999999999</c:v>
                </c:pt>
                <c:pt idx="4">
                  <c:v>0.28308</c:v>
                </c:pt>
                <c:pt idx="5">
                  <c:v>0.24879000000000001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throughput!$A$14</c:f>
              <c:strCache>
                <c:ptCount val="1"/>
                <c:pt idx="0">
                  <c:v>[POST] Update product quantity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throughput!$B$14:$G$14</c:f>
              <c:numCache>
                <c:formatCode>General</c:formatCode>
                <c:ptCount val="6"/>
                <c:pt idx="0">
                  <c:v>7.9900000000000006E-3</c:v>
                </c:pt>
                <c:pt idx="1">
                  <c:v>2.196E-2</c:v>
                </c:pt>
                <c:pt idx="2">
                  <c:v>4.87E-2</c:v>
                </c:pt>
                <c:pt idx="3">
                  <c:v>3.601E-2</c:v>
                </c:pt>
                <c:pt idx="4">
                  <c:v>2.768E-2</c:v>
                </c:pt>
                <c:pt idx="5">
                  <c:v>2.4160000000000001E-2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throughput!$A$15</c:f>
              <c:strCache>
                <c:ptCount val="1"/>
                <c:pt idx="0">
                  <c:v>[POST] Ajax cart refresh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throughput!$B$15:$G$15</c:f>
              <c:numCache>
                <c:formatCode>General</c:formatCode>
                <c:ptCount val="6"/>
                <c:pt idx="0">
                  <c:v>8.0000000000000002E-3</c:v>
                </c:pt>
                <c:pt idx="1">
                  <c:v>2.196E-2</c:v>
                </c:pt>
                <c:pt idx="2">
                  <c:v>4.87E-2</c:v>
                </c:pt>
                <c:pt idx="3">
                  <c:v>3.6020000000000003E-2</c:v>
                </c:pt>
                <c:pt idx="4">
                  <c:v>2.768E-2</c:v>
                </c:pt>
                <c:pt idx="5">
                  <c:v>2.4160000000000001E-2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throughput!$A$16</c:f>
              <c:strCache>
                <c:ptCount val="1"/>
                <c:pt idx="0">
                  <c:v>[POST] Ajax update cart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throughput!$B$1:$G$1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cat>
          <c:val>
            <c:numRef>
              <c:f>throughput!$B$16:$G$16</c:f>
              <c:numCache>
                <c:formatCode>General</c:formatCode>
                <c:ptCount val="6"/>
                <c:pt idx="0">
                  <c:v>8.0000000000000002E-3</c:v>
                </c:pt>
                <c:pt idx="1">
                  <c:v>2.196E-2</c:v>
                </c:pt>
                <c:pt idx="2">
                  <c:v>4.87E-2</c:v>
                </c:pt>
                <c:pt idx="3">
                  <c:v>3.6020000000000003E-2</c:v>
                </c:pt>
                <c:pt idx="4">
                  <c:v>2.768E-2</c:v>
                </c:pt>
                <c:pt idx="5">
                  <c:v>2.4160000000000001E-2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9559600"/>
        <c:axId val="1269562864"/>
        <c:extLst/>
      </c:lineChart>
      <c:catAx>
        <c:axId val="126955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Virtual Users</a:t>
                </a:r>
              </a:p>
            </c:rich>
          </c:tx>
          <c:layout>
            <c:manualLayout>
              <c:xMode val="edge"/>
              <c:yMode val="edge"/>
              <c:x val="6.4345322688322493E-2"/>
              <c:y val="0.54841783117031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62864"/>
        <c:crosses val="autoZero"/>
        <c:auto val="1"/>
        <c:lblAlgn val="ctr"/>
        <c:lblOffset val="100"/>
        <c:noMultiLvlLbl val="0"/>
      </c:catAx>
      <c:valAx>
        <c:axId val="12695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Response time (ms)</a:t>
                </a:r>
              </a:p>
              <a:p>
                <a:pPr>
                  <a:defRPr/>
                </a:pPr>
                <a:endParaRPr lang="en-US" sz="1600"/>
              </a:p>
            </c:rich>
          </c:tx>
          <c:layout>
            <c:manualLayout>
              <c:xMode val="edge"/>
              <c:yMode val="edge"/>
              <c:x val="6.9627131135828649E-2"/>
              <c:y val="0.15985855212800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59600"/>
        <c:crosses val="autoZero"/>
        <c:crossBetween val="between"/>
        <c:majorUnit val="0.1"/>
        <c:minorUnit val="0.1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0256797168647"/>
          <c:y val="0.11227786133474889"/>
          <c:w val="0.15997432028313535"/>
          <c:h val="0.426864329705822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>
        <a:schemeClr val="accent1">
          <a:alpha val="40000"/>
        </a:schemeClr>
      </a:glow>
    </a:effectLst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18</xdr:row>
      <xdr:rowOff>9524</xdr:rowOff>
    </xdr:from>
    <xdr:to>
      <xdr:col>18</xdr:col>
      <xdr:colOff>342899</xdr:colOff>
      <xdr:row>55</xdr:row>
      <xdr:rowOff>190499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904875</xdr:colOff>
      <xdr:row>18</xdr:row>
      <xdr:rowOff>57150</xdr:rowOff>
    </xdr:from>
    <xdr:to>
      <xdr:col>19</xdr:col>
      <xdr:colOff>85725</xdr:colOff>
      <xdr:row>56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17</xdr:row>
      <xdr:rowOff>47625</xdr:rowOff>
    </xdr:from>
    <xdr:to>
      <xdr:col>21</xdr:col>
      <xdr:colOff>304800</xdr:colOff>
      <xdr:row>55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>
      <selection activeCell="K1" sqref="K1"/>
    </sheetView>
  </sheetViews>
  <sheetFormatPr defaultRowHeight="15" x14ac:dyDescent="0.25"/>
  <cols>
    <col min="1" max="1" width="30.85546875" customWidth="1"/>
    <col min="2" max="2" width="16.140625" customWidth="1"/>
    <col min="3" max="3" width="13.85546875" customWidth="1"/>
    <col min="5" max="5" width="14.28515625" customWidth="1"/>
    <col min="6" max="6" width="13.42578125" customWidth="1"/>
    <col min="7" max="7" width="14.85546875" customWidth="1"/>
    <col min="11" max="11" width="13.28515625" customWidth="1"/>
    <col min="12" max="12" width="14.28515625" customWidth="1"/>
    <col min="13" max="13" width="12.85546875" customWidth="1"/>
    <col min="14" max="14" width="12.7109375" customWidth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29</v>
      </c>
    </row>
    <row r="2" spans="1:14" x14ac:dyDescent="0.25">
      <c r="A2" t="s">
        <v>13</v>
      </c>
      <c r="B2">
        <v>122</v>
      </c>
      <c r="C2">
        <v>808</v>
      </c>
      <c r="D2">
        <v>644</v>
      </c>
      <c r="E2">
        <v>1106</v>
      </c>
      <c r="F2">
        <v>1378</v>
      </c>
      <c r="G2">
        <v>4540</v>
      </c>
      <c r="H2">
        <v>468</v>
      </c>
      <c r="I2">
        <v>8286</v>
      </c>
      <c r="J2" s="1">
        <v>1.6389999999999998E-2</v>
      </c>
      <c r="K2">
        <v>0.10122</v>
      </c>
      <c r="L2">
        <v>163.46</v>
      </c>
      <c r="M2">
        <v>6.07</v>
      </c>
      <c r="N2">
        <v>1</v>
      </c>
    </row>
    <row r="3" spans="1:14" x14ac:dyDescent="0.25">
      <c r="A3" t="s">
        <v>14</v>
      </c>
      <c r="B3">
        <v>87</v>
      </c>
      <c r="C3">
        <v>316</v>
      </c>
      <c r="D3">
        <v>248</v>
      </c>
      <c r="E3">
        <v>534</v>
      </c>
      <c r="F3">
        <v>544</v>
      </c>
      <c r="G3">
        <v>618</v>
      </c>
      <c r="H3">
        <v>94</v>
      </c>
      <c r="I3">
        <v>645</v>
      </c>
      <c r="J3" s="1">
        <v>1.149E-2</v>
      </c>
      <c r="K3">
        <v>7.2120000000000004E-2</v>
      </c>
      <c r="L3">
        <v>10.6</v>
      </c>
      <c r="M3">
        <v>3.05</v>
      </c>
      <c r="N3">
        <v>1</v>
      </c>
    </row>
    <row r="4" spans="1:14" x14ac:dyDescent="0.25">
      <c r="A4" t="s">
        <v>15</v>
      </c>
      <c r="B4">
        <v>87</v>
      </c>
      <c r="C4">
        <v>387</v>
      </c>
      <c r="D4">
        <v>455</v>
      </c>
      <c r="E4">
        <v>568</v>
      </c>
      <c r="F4">
        <v>621</v>
      </c>
      <c r="G4">
        <v>1077</v>
      </c>
      <c r="H4">
        <v>83</v>
      </c>
      <c r="I4">
        <v>1089</v>
      </c>
      <c r="J4" s="1">
        <v>0</v>
      </c>
      <c r="K4">
        <v>7.2109999999999994E-2</v>
      </c>
      <c r="L4">
        <v>12.65</v>
      </c>
      <c r="M4">
        <v>3.85</v>
      </c>
      <c r="N4">
        <v>1</v>
      </c>
    </row>
    <row r="5" spans="1:14" x14ac:dyDescent="0.25">
      <c r="A5" t="s">
        <v>16</v>
      </c>
      <c r="B5">
        <v>87</v>
      </c>
      <c r="C5">
        <v>182</v>
      </c>
      <c r="D5">
        <v>176</v>
      </c>
      <c r="E5">
        <v>211</v>
      </c>
      <c r="F5">
        <v>249</v>
      </c>
      <c r="G5">
        <v>313</v>
      </c>
      <c r="H5">
        <v>105</v>
      </c>
      <c r="I5">
        <v>359</v>
      </c>
      <c r="J5" s="1">
        <v>0</v>
      </c>
      <c r="K5">
        <v>7.2190000000000004E-2</v>
      </c>
      <c r="L5">
        <v>7.26</v>
      </c>
      <c r="M5">
        <v>1.27</v>
      </c>
      <c r="N5">
        <v>1</v>
      </c>
    </row>
    <row r="6" spans="1:14" x14ac:dyDescent="0.25">
      <c r="A6" t="s">
        <v>17</v>
      </c>
      <c r="B6">
        <v>108</v>
      </c>
      <c r="C6">
        <v>90</v>
      </c>
      <c r="D6">
        <v>88</v>
      </c>
      <c r="E6">
        <v>124</v>
      </c>
      <c r="F6">
        <v>153</v>
      </c>
      <c r="G6">
        <v>177</v>
      </c>
      <c r="H6">
        <v>40</v>
      </c>
      <c r="I6">
        <v>185</v>
      </c>
      <c r="J6" s="1">
        <v>0</v>
      </c>
      <c r="K6">
        <v>9.1230000000000006E-2</v>
      </c>
      <c r="L6">
        <v>2.16</v>
      </c>
      <c r="M6">
        <v>0.14000000000000001</v>
      </c>
      <c r="N6">
        <v>1</v>
      </c>
    </row>
    <row r="7" spans="1:14" x14ac:dyDescent="0.25">
      <c r="A7" t="s">
        <v>18</v>
      </c>
      <c r="B7">
        <v>36</v>
      </c>
      <c r="C7">
        <v>103</v>
      </c>
      <c r="D7">
        <v>104</v>
      </c>
      <c r="E7">
        <v>136</v>
      </c>
      <c r="F7">
        <v>142</v>
      </c>
      <c r="G7">
        <v>172</v>
      </c>
      <c r="H7">
        <v>63</v>
      </c>
      <c r="I7">
        <v>172</v>
      </c>
      <c r="J7" s="1">
        <v>0</v>
      </c>
      <c r="K7">
        <v>3.0429999999999999E-2</v>
      </c>
      <c r="L7">
        <v>0.92</v>
      </c>
      <c r="M7">
        <v>0.13</v>
      </c>
      <c r="N7">
        <v>1</v>
      </c>
    </row>
    <row r="8" spans="1:14" x14ac:dyDescent="0.25">
      <c r="A8" t="s">
        <v>19</v>
      </c>
      <c r="B8">
        <v>36</v>
      </c>
      <c r="C8">
        <v>177</v>
      </c>
      <c r="D8">
        <v>171</v>
      </c>
      <c r="E8">
        <v>216</v>
      </c>
      <c r="F8">
        <v>219</v>
      </c>
      <c r="G8">
        <v>268</v>
      </c>
      <c r="H8">
        <v>93</v>
      </c>
      <c r="I8">
        <v>268</v>
      </c>
      <c r="J8" s="1">
        <v>2.7779999999999999E-2</v>
      </c>
      <c r="K8">
        <v>3.0419999999999999E-2</v>
      </c>
      <c r="L8">
        <v>3.27</v>
      </c>
      <c r="M8">
        <v>0.35</v>
      </c>
      <c r="N8">
        <v>1</v>
      </c>
    </row>
    <row r="9" spans="1:14" x14ac:dyDescent="0.25">
      <c r="A9" t="s">
        <v>20</v>
      </c>
      <c r="B9">
        <v>27</v>
      </c>
      <c r="C9">
        <v>72</v>
      </c>
      <c r="D9">
        <v>71</v>
      </c>
      <c r="E9">
        <v>81</v>
      </c>
      <c r="F9">
        <v>84</v>
      </c>
      <c r="G9">
        <v>101</v>
      </c>
      <c r="H9">
        <v>64</v>
      </c>
      <c r="I9">
        <v>101</v>
      </c>
      <c r="J9" s="1">
        <v>0</v>
      </c>
      <c r="K9">
        <v>2.368E-2</v>
      </c>
      <c r="L9">
        <v>7.0000000000000007E-2</v>
      </c>
      <c r="M9">
        <v>0.04</v>
      </c>
      <c r="N9">
        <v>1</v>
      </c>
    </row>
    <row r="10" spans="1:14" x14ac:dyDescent="0.25">
      <c r="A10" t="s">
        <v>21</v>
      </c>
      <c r="B10">
        <v>27</v>
      </c>
      <c r="C10">
        <v>54</v>
      </c>
      <c r="D10">
        <v>54</v>
      </c>
      <c r="E10">
        <v>57</v>
      </c>
      <c r="F10">
        <v>60</v>
      </c>
      <c r="G10">
        <v>61</v>
      </c>
      <c r="H10">
        <v>51</v>
      </c>
      <c r="I10">
        <v>61</v>
      </c>
      <c r="J10" s="1">
        <v>0</v>
      </c>
      <c r="K10">
        <v>2.368E-2</v>
      </c>
      <c r="L10">
        <v>0.08</v>
      </c>
      <c r="M10">
        <v>0.04</v>
      </c>
      <c r="N10">
        <v>1</v>
      </c>
    </row>
    <row r="11" spans="1:14" x14ac:dyDescent="0.25">
      <c r="A11" t="s">
        <v>22</v>
      </c>
      <c r="B11">
        <v>30</v>
      </c>
      <c r="C11">
        <v>112</v>
      </c>
      <c r="D11">
        <v>111</v>
      </c>
      <c r="E11">
        <v>144</v>
      </c>
      <c r="F11">
        <v>145</v>
      </c>
      <c r="G11">
        <v>198</v>
      </c>
      <c r="H11">
        <v>68</v>
      </c>
      <c r="I11">
        <v>198</v>
      </c>
      <c r="J11" s="1">
        <v>0</v>
      </c>
      <c r="K11">
        <v>2.631E-2</v>
      </c>
      <c r="L11">
        <v>0.39</v>
      </c>
      <c r="M11">
        <v>0.08</v>
      </c>
      <c r="N11">
        <v>1</v>
      </c>
    </row>
    <row r="12" spans="1:14" x14ac:dyDescent="0.25">
      <c r="A12" t="s">
        <v>23</v>
      </c>
      <c r="B12">
        <v>48</v>
      </c>
      <c r="C12">
        <v>95</v>
      </c>
      <c r="D12">
        <v>81</v>
      </c>
      <c r="E12">
        <v>108</v>
      </c>
      <c r="F12">
        <v>146</v>
      </c>
      <c r="G12">
        <v>378</v>
      </c>
      <c r="H12">
        <v>75</v>
      </c>
      <c r="I12">
        <v>378</v>
      </c>
      <c r="J12" s="1">
        <v>0</v>
      </c>
      <c r="K12">
        <v>8.1449999999999995E-2</v>
      </c>
      <c r="L12">
        <v>0.88</v>
      </c>
      <c r="M12">
        <v>0.18</v>
      </c>
      <c r="N12">
        <v>1</v>
      </c>
    </row>
    <row r="13" spans="1:14" x14ac:dyDescent="0.25">
      <c r="A13" t="s">
        <v>24</v>
      </c>
      <c r="B13">
        <v>48</v>
      </c>
      <c r="C13">
        <v>258</v>
      </c>
      <c r="D13">
        <v>237</v>
      </c>
      <c r="E13">
        <v>250</v>
      </c>
      <c r="F13">
        <v>254</v>
      </c>
      <c r="G13">
        <v>1128</v>
      </c>
      <c r="H13">
        <v>226</v>
      </c>
      <c r="I13">
        <v>1128</v>
      </c>
      <c r="J13" s="1">
        <v>0</v>
      </c>
      <c r="K13">
        <v>8.1379999999999994E-2</v>
      </c>
      <c r="L13">
        <v>1.41</v>
      </c>
      <c r="M13">
        <v>0.38</v>
      </c>
      <c r="N13">
        <v>1</v>
      </c>
    </row>
    <row r="14" spans="1:14" x14ac:dyDescent="0.25">
      <c r="A14" t="s">
        <v>25</v>
      </c>
      <c r="B14">
        <v>3</v>
      </c>
      <c r="C14">
        <v>79</v>
      </c>
      <c r="D14">
        <v>76</v>
      </c>
      <c r="E14">
        <v>89</v>
      </c>
      <c r="F14">
        <v>89</v>
      </c>
      <c r="G14">
        <v>89</v>
      </c>
      <c r="H14">
        <v>73</v>
      </c>
      <c r="I14">
        <v>89</v>
      </c>
      <c r="J14" s="1">
        <v>0</v>
      </c>
      <c r="K14">
        <v>7.9900000000000006E-3</v>
      </c>
      <c r="L14">
        <v>0.02</v>
      </c>
      <c r="M14">
        <v>0.02</v>
      </c>
      <c r="N14">
        <v>1</v>
      </c>
    </row>
    <row r="15" spans="1:14" x14ac:dyDescent="0.25">
      <c r="A15" t="s">
        <v>26</v>
      </c>
      <c r="B15">
        <v>3</v>
      </c>
      <c r="C15">
        <v>73</v>
      </c>
      <c r="D15">
        <v>67</v>
      </c>
      <c r="E15">
        <v>93</v>
      </c>
      <c r="F15">
        <v>93</v>
      </c>
      <c r="G15">
        <v>93</v>
      </c>
      <c r="H15">
        <v>61</v>
      </c>
      <c r="I15">
        <v>93</v>
      </c>
      <c r="J15" s="1">
        <v>0</v>
      </c>
      <c r="K15">
        <v>8.0000000000000002E-3</v>
      </c>
      <c r="L15">
        <v>0.08</v>
      </c>
      <c r="M15">
        <v>0.02</v>
      </c>
      <c r="N15">
        <v>1</v>
      </c>
    </row>
    <row r="16" spans="1:14" x14ac:dyDescent="0.25">
      <c r="A16" t="s">
        <v>27</v>
      </c>
      <c r="B16">
        <v>3</v>
      </c>
      <c r="C16">
        <v>60</v>
      </c>
      <c r="D16">
        <v>63</v>
      </c>
      <c r="E16">
        <v>65</v>
      </c>
      <c r="F16">
        <v>65</v>
      </c>
      <c r="G16">
        <v>65</v>
      </c>
      <c r="H16">
        <v>54</v>
      </c>
      <c r="I16">
        <v>65</v>
      </c>
      <c r="J16" s="1">
        <v>0</v>
      </c>
      <c r="K16">
        <v>8.0000000000000002E-3</v>
      </c>
      <c r="L16">
        <v>0.01</v>
      </c>
      <c r="M16">
        <v>0.02</v>
      </c>
      <c r="N16">
        <v>1</v>
      </c>
    </row>
    <row r="17" spans="1:14" x14ac:dyDescent="0.25">
      <c r="A17" t="s">
        <v>28</v>
      </c>
      <c r="B17">
        <v>752</v>
      </c>
      <c r="C17">
        <v>292</v>
      </c>
      <c r="D17">
        <v>169</v>
      </c>
      <c r="E17">
        <v>604</v>
      </c>
      <c r="F17">
        <v>773</v>
      </c>
      <c r="G17">
        <v>1344</v>
      </c>
      <c r="H17">
        <v>40</v>
      </c>
      <c r="I17">
        <v>8286</v>
      </c>
      <c r="J17" s="1">
        <v>5.3200000000000001E-3</v>
      </c>
      <c r="K17">
        <v>0.61887999999999999</v>
      </c>
      <c r="L17">
        <v>200.28</v>
      </c>
      <c r="M17">
        <v>15.19</v>
      </c>
      <c r="N17">
        <v>1</v>
      </c>
    </row>
    <row r="18" spans="1:14" x14ac:dyDescent="0.25">
      <c r="J18" s="1"/>
    </row>
    <row r="19" spans="1:14" x14ac:dyDescent="0.25">
      <c r="A19" t="s">
        <v>13</v>
      </c>
      <c r="B19">
        <v>3532</v>
      </c>
      <c r="C19">
        <v>723</v>
      </c>
      <c r="D19">
        <v>589</v>
      </c>
      <c r="E19">
        <v>1046</v>
      </c>
      <c r="F19">
        <v>1444</v>
      </c>
      <c r="G19">
        <v>2175</v>
      </c>
      <c r="H19">
        <v>453</v>
      </c>
      <c r="I19">
        <v>12343</v>
      </c>
      <c r="J19" s="1">
        <v>5.6999999999999998E-4</v>
      </c>
      <c r="K19">
        <v>0.98111000000000004</v>
      </c>
      <c r="L19">
        <v>1585.39</v>
      </c>
      <c r="M19">
        <v>58.86</v>
      </c>
      <c r="N19">
        <v>10</v>
      </c>
    </row>
    <row r="20" spans="1:14" x14ac:dyDescent="0.25">
      <c r="A20" t="s">
        <v>23</v>
      </c>
      <c r="B20">
        <v>1095</v>
      </c>
      <c r="C20">
        <v>103</v>
      </c>
      <c r="D20">
        <v>84</v>
      </c>
      <c r="E20">
        <v>121</v>
      </c>
      <c r="F20">
        <v>136</v>
      </c>
      <c r="G20">
        <v>556</v>
      </c>
      <c r="H20">
        <v>72</v>
      </c>
      <c r="I20">
        <v>1186</v>
      </c>
      <c r="J20" s="1">
        <v>0</v>
      </c>
      <c r="K20">
        <v>0.30481000000000003</v>
      </c>
      <c r="L20">
        <v>3.24</v>
      </c>
      <c r="M20">
        <v>0.64</v>
      </c>
      <c r="N20">
        <v>10</v>
      </c>
    </row>
    <row r="21" spans="1:14" x14ac:dyDescent="0.25">
      <c r="A21" t="s">
        <v>24</v>
      </c>
      <c r="B21">
        <v>1095</v>
      </c>
      <c r="C21">
        <v>274</v>
      </c>
      <c r="D21">
        <v>255</v>
      </c>
      <c r="E21">
        <v>300</v>
      </c>
      <c r="F21">
        <v>330</v>
      </c>
      <c r="G21">
        <v>861</v>
      </c>
      <c r="H21">
        <v>226</v>
      </c>
      <c r="I21">
        <v>1418</v>
      </c>
      <c r="J21" s="1">
        <v>9.1E-4</v>
      </c>
      <c r="K21">
        <v>0.30486000000000002</v>
      </c>
      <c r="L21">
        <v>5.28</v>
      </c>
      <c r="M21">
        <v>1.42</v>
      </c>
      <c r="N21">
        <v>10</v>
      </c>
    </row>
    <row r="22" spans="1:14" x14ac:dyDescent="0.25">
      <c r="A22" t="s">
        <v>14</v>
      </c>
      <c r="B22">
        <v>2547</v>
      </c>
      <c r="C22">
        <v>422</v>
      </c>
      <c r="D22">
        <v>463</v>
      </c>
      <c r="E22">
        <v>658</v>
      </c>
      <c r="F22">
        <v>795</v>
      </c>
      <c r="G22">
        <v>1531</v>
      </c>
      <c r="H22">
        <v>1</v>
      </c>
      <c r="I22">
        <v>11749</v>
      </c>
      <c r="J22" s="1">
        <v>2.3600000000000001E-3</v>
      </c>
      <c r="K22">
        <v>0.70862999999999998</v>
      </c>
      <c r="L22">
        <v>118.62</v>
      </c>
      <c r="M22">
        <v>33.99</v>
      </c>
      <c r="N22">
        <v>10</v>
      </c>
    </row>
    <row r="23" spans="1:14" x14ac:dyDescent="0.25">
      <c r="A23" t="s">
        <v>15</v>
      </c>
      <c r="B23">
        <v>2546</v>
      </c>
      <c r="C23">
        <v>474</v>
      </c>
      <c r="D23">
        <v>491</v>
      </c>
      <c r="E23">
        <v>676</v>
      </c>
      <c r="F23">
        <v>882</v>
      </c>
      <c r="G23">
        <v>1695</v>
      </c>
      <c r="H23">
        <v>0</v>
      </c>
      <c r="I23">
        <v>6582</v>
      </c>
      <c r="J23" s="1">
        <v>3.8999999999999999E-4</v>
      </c>
      <c r="K23">
        <v>0.70887</v>
      </c>
      <c r="L23">
        <v>129.66999999999999</v>
      </c>
      <c r="M23">
        <v>38.35</v>
      </c>
      <c r="N23">
        <v>10</v>
      </c>
    </row>
    <row r="24" spans="1:14" x14ac:dyDescent="0.25">
      <c r="A24" t="s">
        <v>16</v>
      </c>
      <c r="B24">
        <v>2545</v>
      </c>
      <c r="C24">
        <v>232</v>
      </c>
      <c r="D24">
        <v>201</v>
      </c>
      <c r="E24">
        <v>268</v>
      </c>
      <c r="F24">
        <v>338</v>
      </c>
      <c r="G24">
        <v>1242</v>
      </c>
      <c r="H24">
        <v>1</v>
      </c>
      <c r="I24">
        <v>2742</v>
      </c>
      <c r="J24" s="1">
        <v>1.9599999999999999E-3</v>
      </c>
      <c r="K24">
        <v>0.70884999999999998</v>
      </c>
      <c r="L24">
        <v>69.900000000000006</v>
      </c>
      <c r="M24">
        <v>12.25</v>
      </c>
      <c r="N24">
        <v>10</v>
      </c>
    </row>
    <row r="25" spans="1:14" x14ac:dyDescent="0.25">
      <c r="A25" t="s">
        <v>17</v>
      </c>
      <c r="B25">
        <v>3169</v>
      </c>
      <c r="C25">
        <v>100</v>
      </c>
      <c r="D25">
        <v>89</v>
      </c>
      <c r="E25">
        <v>145</v>
      </c>
      <c r="F25">
        <v>165</v>
      </c>
      <c r="G25">
        <v>327</v>
      </c>
      <c r="H25">
        <v>35</v>
      </c>
      <c r="I25">
        <v>1272</v>
      </c>
      <c r="J25" s="1">
        <v>0</v>
      </c>
      <c r="K25">
        <v>0.88349999999999995</v>
      </c>
      <c r="L25">
        <v>20.34</v>
      </c>
      <c r="M25">
        <v>1.31</v>
      </c>
      <c r="N25">
        <v>10</v>
      </c>
    </row>
    <row r="26" spans="1:14" x14ac:dyDescent="0.25">
      <c r="A26" t="s">
        <v>18</v>
      </c>
      <c r="B26">
        <v>1056</v>
      </c>
      <c r="C26">
        <v>124</v>
      </c>
      <c r="D26">
        <v>105</v>
      </c>
      <c r="E26">
        <v>170</v>
      </c>
      <c r="F26">
        <v>199</v>
      </c>
      <c r="G26">
        <v>541</v>
      </c>
      <c r="H26">
        <v>62</v>
      </c>
      <c r="I26">
        <v>1459</v>
      </c>
      <c r="J26" s="1">
        <v>4.7299999999999998E-3</v>
      </c>
      <c r="K26">
        <v>0.29475000000000001</v>
      </c>
      <c r="L26">
        <v>8.8000000000000007</v>
      </c>
      <c r="M26">
        <v>1.25</v>
      </c>
      <c r="N26">
        <v>10</v>
      </c>
    </row>
    <row r="27" spans="1:14" x14ac:dyDescent="0.25">
      <c r="A27" t="s">
        <v>19</v>
      </c>
      <c r="B27">
        <v>1056</v>
      </c>
      <c r="C27">
        <v>220</v>
      </c>
      <c r="D27">
        <v>189</v>
      </c>
      <c r="E27">
        <v>246</v>
      </c>
      <c r="F27">
        <v>306</v>
      </c>
      <c r="G27">
        <v>1078</v>
      </c>
      <c r="H27">
        <v>99</v>
      </c>
      <c r="I27">
        <v>6030</v>
      </c>
      <c r="J27" s="1">
        <v>5.6800000000000002E-3</v>
      </c>
      <c r="K27">
        <v>0.29468</v>
      </c>
      <c r="L27">
        <v>31.54</v>
      </c>
      <c r="M27">
        <v>3.38</v>
      </c>
      <c r="N27">
        <v>10</v>
      </c>
    </row>
    <row r="28" spans="1:14" x14ac:dyDescent="0.25">
      <c r="A28" t="s">
        <v>20</v>
      </c>
      <c r="B28">
        <v>780</v>
      </c>
      <c r="C28">
        <v>86</v>
      </c>
      <c r="D28">
        <v>76</v>
      </c>
      <c r="E28">
        <v>100</v>
      </c>
      <c r="F28">
        <v>112</v>
      </c>
      <c r="G28">
        <v>237</v>
      </c>
      <c r="H28">
        <v>41</v>
      </c>
      <c r="I28">
        <v>1127</v>
      </c>
      <c r="J28" s="1">
        <v>0</v>
      </c>
      <c r="K28">
        <v>0.21804000000000001</v>
      </c>
      <c r="L28">
        <v>0.67</v>
      </c>
      <c r="M28">
        <v>0.38</v>
      </c>
      <c r="N28">
        <v>10</v>
      </c>
    </row>
    <row r="29" spans="1:14" x14ac:dyDescent="0.25">
      <c r="A29" t="s">
        <v>21</v>
      </c>
      <c r="B29">
        <v>780</v>
      </c>
      <c r="C29">
        <v>61</v>
      </c>
      <c r="D29">
        <v>57</v>
      </c>
      <c r="E29">
        <v>70</v>
      </c>
      <c r="F29">
        <v>77</v>
      </c>
      <c r="G29">
        <v>116</v>
      </c>
      <c r="H29">
        <v>37</v>
      </c>
      <c r="I29">
        <v>985</v>
      </c>
      <c r="J29" s="1">
        <v>0</v>
      </c>
      <c r="K29">
        <v>0.21804000000000001</v>
      </c>
      <c r="L29">
        <v>0.78</v>
      </c>
      <c r="M29">
        <v>0.38</v>
      </c>
      <c r="N29">
        <v>10</v>
      </c>
    </row>
    <row r="30" spans="1:14" x14ac:dyDescent="0.25">
      <c r="A30" t="s">
        <v>22</v>
      </c>
      <c r="B30">
        <v>856</v>
      </c>
      <c r="C30">
        <v>115</v>
      </c>
      <c r="D30">
        <v>109</v>
      </c>
      <c r="E30">
        <v>135</v>
      </c>
      <c r="F30">
        <v>155</v>
      </c>
      <c r="G30">
        <v>362</v>
      </c>
      <c r="H30">
        <v>47</v>
      </c>
      <c r="I30">
        <v>1143</v>
      </c>
      <c r="J30" s="1">
        <v>0</v>
      </c>
      <c r="K30">
        <v>0.23929</v>
      </c>
      <c r="L30">
        <v>3.5</v>
      </c>
      <c r="M30">
        <v>0.75</v>
      </c>
      <c r="N30">
        <v>10</v>
      </c>
    </row>
    <row r="31" spans="1:14" x14ac:dyDescent="0.25">
      <c r="A31" t="s">
        <v>25</v>
      </c>
      <c r="B31">
        <v>76</v>
      </c>
      <c r="C31">
        <v>83</v>
      </c>
      <c r="D31">
        <v>80</v>
      </c>
      <c r="E31">
        <v>101</v>
      </c>
      <c r="F31">
        <v>108</v>
      </c>
      <c r="G31">
        <v>123</v>
      </c>
      <c r="H31">
        <v>66</v>
      </c>
      <c r="I31">
        <v>126</v>
      </c>
      <c r="J31" s="1">
        <v>0</v>
      </c>
      <c r="K31">
        <v>2.196E-2</v>
      </c>
      <c r="L31">
        <v>0.04</v>
      </c>
      <c r="M31">
        <v>0.05</v>
      </c>
      <c r="N31">
        <v>10</v>
      </c>
    </row>
    <row r="32" spans="1:14" x14ac:dyDescent="0.25">
      <c r="A32" t="s">
        <v>26</v>
      </c>
      <c r="B32">
        <v>76</v>
      </c>
      <c r="C32">
        <v>69</v>
      </c>
      <c r="D32">
        <v>63</v>
      </c>
      <c r="E32">
        <v>84</v>
      </c>
      <c r="F32">
        <v>97</v>
      </c>
      <c r="G32">
        <v>128</v>
      </c>
      <c r="H32">
        <v>55</v>
      </c>
      <c r="I32">
        <v>146</v>
      </c>
      <c r="J32" s="1">
        <v>0</v>
      </c>
      <c r="K32">
        <v>2.196E-2</v>
      </c>
      <c r="L32">
        <v>0.21</v>
      </c>
      <c r="M32">
        <v>0.04</v>
      </c>
      <c r="N32">
        <v>10</v>
      </c>
    </row>
    <row r="33" spans="1:14" x14ac:dyDescent="0.25">
      <c r="A33" t="s">
        <v>27</v>
      </c>
      <c r="B33">
        <v>76</v>
      </c>
      <c r="C33">
        <v>59</v>
      </c>
      <c r="D33">
        <v>58</v>
      </c>
      <c r="E33">
        <v>68</v>
      </c>
      <c r="F33">
        <v>70</v>
      </c>
      <c r="G33">
        <v>79</v>
      </c>
      <c r="H33">
        <v>50</v>
      </c>
      <c r="I33">
        <v>80</v>
      </c>
      <c r="J33" s="1">
        <v>0</v>
      </c>
      <c r="K33">
        <v>2.196E-2</v>
      </c>
      <c r="L33">
        <v>0.02</v>
      </c>
      <c r="M33">
        <v>0.04</v>
      </c>
      <c r="N33">
        <v>10</v>
      </c>
    </row>
    <row r="34" spans="1:14" x14ac:dyDescent="0.25">
      <c r="A34" t="s">
        <v>28</v>
      </c>
      <c r="B34">
        <v>21285</v>
      </c>
      <c r="C34">
        <v>317</v>
      </c>
      <c r="D34">
        <v>196</v>
      </c>
      <c r="E34">
        <v>635</v>
      </c>
      <c r="F34">
        <v>801</v>
      </c>
      <c r="G34">
        <v>1526</v>
      </c>
      <c r="H34">
        <v>0</v>
      </c>
      <c r="I34">
        <v>12343</v>
      </c>
      <c r="J34" s="1">
        <v>1.2199999999999999E-3</v>
      </c>
      <c r="K34">
        <v>5.9125100000000002</v>
      </c>
      <c r="L34">
        <v>1977.01</v>
      </c>
      <c r="M34">
        <v>152.88999999999999</v>
      </c>
      <c r="N34">
        <v>10</v>
      </c>
    </row>
    <row r="36" spans="1:14" x14ac:dyDescent="0.25">
      <c r="A36" t="s">
        <v>13</v>
      </c>
      <c r="B36">
        <v>7767</v>
      </c>
      <c r="C36">
        <v>1622</v>
      </c>
      <c r="D36">
        <v>1616</v>
      </c>
      <c r="E36">
        <v>2404</v>
      </c>
      <c r="F36">
        <v>2704</v>
      </c>
      <c r="G36">
        <v>3495</v>
      </c>
      <c r="H36">
        <v>459</v>
      </c>
      <c r="I36">
        <v>7713</v>
      </c>
      <c r="J36" s="1">
        <v>6.4000000000000005E-4</v>
      </c>
      <c r="K36">
        <v>2.1576200000000001</v>
      </c>
      <c r="L36">
        <v>3487.69</v>
      </c>
      <c r="M36">
        <v>129.44</v>
      </c>
      <c r="N36">
        <v>30</v>
      </c>
    </row>
    <row r="37" spans="1:14" x14ac:dyDescent="0.25">
      <c r="A37" t="s">
        <v>23</v>
      </c>
      <c r="B37">
        <v>2448</v>
      </c>
      <c r="C37">
        <v>250</v>
      </c>
      <c r="D37">
        <v>101</v>
      </c>
      <c r="E37">
        <v>715</v>
      </c>
      <c r="F37">
        <v>937</v>
      </c>
      <c r="G37">
        <v>1480</v>
      </c>
      <c r="H37">
        <v>10</v>
      </c>
      <c r="I37">
        <v>2248</v>
      </c>
      <c r="J37" s="1">
        <v>4.0999999999999999E-4</v>
      </c>
      <c r="K37">
        <v>0.68072999999999995</v>
      </c>
      <c r="L37">
        <v>7.24</v>
      </c>
      <c r="M37">
        <v>1.43</v>
      </c>
      <c r="N37">
        <v>30</v>
      </c>
    </row>
    <row r="38" spans="1:14" x14ac:dyDescent="0.25">
      <c r="A38" t="s">
        <v>24</v>
      </c>
      <c r="B38">
        <v>2448</v>
      </c>
      <c r="C38">
        <v>431</v>
      </c>
      <c r="D38">
        <v>301</v>
      </c>
      <c r="E38">
        <v>772</v>
      </c>
      <c r="F38">
        <v>989</v>
      </c>
      <c r="G38">
        <v>1488</v>
      </c>
      <c r="H38">
        <v>224</v>
      </c>
      <c r="I38">
        <v>2638</v>
      </c>
      <c r="J38" s="1">
        <v>8.1999999999999998E-4</v>
      </c>
      <c r="K38">
        <v>0.68071000000000004</v>
      </c>
      <c r="L38">
        <v>11.78</v>
      </c>
      <c r="M38">
        <v>3.18</v>
      </c>
      <c r="N38">
        <v>30</v>
      </c>
    </row>
    <row r="39" spans="1:14" x14ac:dyDescent="0.25">
      <c r="A39" t="s">
        <v>14</v>
      </c>
      <c r="B39">
        <v>5597</v>
      </c>
      <c r="C39">
        <v>833</v>
      </c>
      <c r="D39">
        <v>716</v>
      </c>
      <c r="E39">
        <v>1631</v>
      </c>
      <c r="F39">
        <v>1915</v>
      </c>
      <c r="G39">
        <v>2561</v>
      </c>
      <c r="H39">
        <v>0</v>
      </c>
      <c r="I39">
        <v>5587</v>
      </c>
      <c r="J39" s="1">
        <v>3.5699999999999998E-3</v>
      </c>
      <c r="K39">
        <v>1.55796</v>
      </c>
      <c r="L39">
        <v>259.14</v>
      </c>
      <c r="M39">
        <v>74.510000000000005</v>
      </c>
      <c r="N39">
        <v>30</v>
      </c>
    </row>
    <row r="40" spans="1:14" x14ac:dyDescent="0.25">
      <c r="A40" t="s">
        <v>15</v>
      </c>
      <c r="B40">
        <v>5593</v>
      </c>
      <c r="C40">
        <v>840</v>
      </c>
      <c r="D40">
        <v>778</v>
      </c>
      <c r="E40">
        <v>1603</v>
      </c>
      <c r="F40">
        <v>1845</v>
      </c>
      <c r="G40">
        <v>2504</v>
      </c>
      <c r="H40">
        <v>82</v>
      </c>
      <c r="I40">
        <v>4180</v>
      </c>
      <c r="J40" s="1">
        <v>7.2000000000000005E-4</v>
      </c>
      <c r="K40">
        <v>1.5584800000000001</v>
      </c>
      <c r="L40">
        <v>286.45</v>
      </c>
      <c r="M40">
        <v>85.17</v>
      </c>
      <c r="N40">
        <v>30</v>
      </c>
    </row>
    <row r="41" spans="1:14" x14ac:dyDescent="0.25">
      <c r="A41" t="s">
        <v>16</v>
      </c>
      <c r="B41">
        <v>5590</v>
      </c>
      <c r="C41">
        <v>616</v>
      </c>
      <c r="D41">
        <v>508</v>
      </c>
      <c r="E41">
        <v>1183</v>
      </c>
      <c r="F41">
        <v>1471</v>
      </c>
      <c r="G41">
        <v>2014</v>
      </c>
      <c r="H41">
        <v>0</v>
      </c>
      <c r="I41">
        <v>3912</v>
      </c>
      <c r="J41" s="1">
        <v>1.6100000000000001E-3</v>
      </c>
      <c r="K41">
        <v>1.55833</v>
      </c>
      <c r="L41">
        <v>154.06</v>
      </c>
      <c r="M41">
        <v>26.97</v>
      </c>
      <c r="N41">
        <v>30</v>
      </c>
    </row>
    <row r="42" spans="1:14" x14ac:dyDescent="0.25">
      <c r="A42" t="s">
        <v>17</v>
      </c>
      <c r="B42">
        <v>6966</v>
      </c>
      <c r="C42">
        <v>144</v>
      </c>
      <c r="D42">
        <v>102</v>
      </c>
      <c r="E42">
        <v>231</v>
      </c>
      <c r="F42">
        <v>419</v>
      </c>
      <c r="G42">
        <v>886</v>
      </c>
      <c r="H42">
        <v>1</v>
      </c>
      <c r="I42">
        <v>1805</v>
      </c>
      <c r="J42" s="1">
        <v>2.9E-4</v>
      </c>
      <c r="K42">
        <v>1.9439299999999999</v>
      </c>
      <c r="L42">
        <v>44.75</v>
      </c>
      <c r="M42">
        <v>2.89</v>
      </c>
      <c r="N42">
        <v>30</v>
      </c>
    </row>
    <row r="43" spans="1:14" x14ac:dyDescent="0.25">
      <c r="A43" t="s">
        <v>18</v>
      </c>
      <c r="B43">
        <v>2321</v>
      </c>
      <c r="C43">
        <v>223</v>
      </c>
      <c r="D43">
        <v>123</v>
      </c>
      <c r="E43">
        <v>512</v>
      </c>
      <c r="F43">
        <v>681</v>
      </c>
      <c r="G43">
        <v>1118</v>
      </c>
      <c r="H43">
        <v>61</v>
      </c>
      <c r="I43">
        <v>1843</v>
      </c>
      <c r="J43" s="1">
        <v>3.8800000000000002E-3</v>
      </c>
      <c r="K43">
        <v>0.64798</v>
      </c>
      <c r="L43">
        <v>18.899999999999999</v>
      </c>
      <c r="M43">
        <v>2.68</v>
      </c>
      <c r="N43">
        <v>30</v>
      </c>
    </row>
    <row r="44" spans="1:14" x14ac:dyDescent="0.25">
      <c r="A44" t="s">
        <v>19</v>
      </c>
      <c r="B44">
        <v>2320</v>
      </c>
      <c r="C44">
        <v>482</v>
      </c>
      <c r="D44">
        <v>390</v>
      </c>
      <c r="E44">
        <v>912</v>
      </c>
      <c r="F44">
        <v>1139</v>
      </c>
      <c r="G44">
        <v>1698</v>
      </c>
      <c r="H44">
        <v>87</v>
      </c>
      <c r="I44">
        <v>2355</v>
      </c>
      <c r="J44" s="1">
        <v>3.8800000000000002E-3</v>
      </c>
      <c r="K44">
        <v>0.64802999999999999</v>
      </c>
      <c r="L44">
        <v>69.709999999999994</v>
      </c>
      <c r="M44">
        <v>7.49</v>
      </c>
      <c r="N44">
        <v>30</v>
      </c>
    </row>
    <row r="45" spans="1:14" x14ac:dyDescent="0.25">
      <c r="A45" t="s">
        <v>20</v>
      </c>
      <c r="B45">
        <v>1716</v>
      </c>
      <c r="C45">
        <v>150</v>
      </c>
      <c r="D45">
        <v>85</v>
      </c>
      <c r="E45">
        <v>363</v>
      </c>
      <c r="F45">
        <v>535</v>
      </c>
      <c r="G45">
        <v>860</v>
      </c>
      <c r="H45">
        <v>0</v>
      </c>
      <c r="I45">
        <v>1649</v>
      </c>
      <c r="J45" s="1">
        <v>5.8E-4</v>
      </c>
      <c r="K45">
        <v>0.48150999999999999</v>
      </c>
      <c r="L45">
        <v>1.49</v>
      </c>
      <c r="M45">
        <v>0.84</v>
      </c>
      <c r="N45">
        <v>30</v>
      </c>
    </row>
    <row r="46" spans="1:14" x14ac:dyDescent="0.25">
      <c r="A46" t="s">
        <v>21</v>
      </c>
      <c r="B46">
        <v>1716</v>
      </c>
      <c r="C46">
        <v>71</v>
      </c>
      <c r="D46">
        <v>63</v>
      </c>
      <c r="E46">
        <v>84</v>
      </c>
      <c r="F46">
        <v>94</v>
      </c>
      <c r="G46">
        <v>259</v>
      </c>
      <c r="H46">
        <v>36</v>
      </c>
      <c r="I46">
        <v>1034</v>
      </c>
      <c r="J46" s="1">
        <v>0</v>
      </c>
      <c r="K46">
        <v>0.48150999999999999</v>
      </c>
      <c r="L46">
        <v>1.73</v>
      </c>
      <c r="M46">
        <v>0.84</v>
      </c>
      <c r="N46">
        <v>30</v>
      </c>
    </row>
    <row r="47" spans="1:14" x14ac:dyDescent="0.25">
      <c r="A47" t="s">
        <v>22</v>
      </c>
      <c r="B47">
        <v>1886</v>
      </c>
      <c r="C47">
        <v>148</v>
      </c>
      <c r="D47">
        <v>118</v>
      </c>
      <c r="E47">
        <v>176</v>
      </c>
      <c r="F47">
        <v>303</v>
      </c>
      <c r="G47">
        <v>895</v>
      </c>
      <c r="H47">
        <v>47</v>
      </c>
      <c r="I47">
        <v>2576</v>
      </c>
      <c r="J47" s="1">
        <v>0</v>
      </c>
      <c r="K47">
        <v>0.52927000000000002</v>
      </c>
      <c r="L47">
        <v>7.75</v>
      </c>
      <c r="M47">
        <v>1.66</v>
      </c>
      <c r="N47">
        <v>30</v>
      </c>
    </row>
    <row r="48" spans="1:14" x14ac:dyDescent="0.25">
      <c r="A48" t="s">
        <v>25</v>
      </c>
      <c r="B48">
        <v>170</v>
      </c>
      <c r="C48">
        <v>163</v>
      </c>
      <c r="D48">
        <v>94</v>
      </c>
      <c r="E48">
        <v>359</v>
      </c>
      <c r="F48">
        <v>531</v>
      </c>
      <c r="G48">
        <v>849</v>
      </c>
      <c r="H48">
        <v>67</v>
      </c>
      <c r="I48">
        <v>1587</v>
      </c>
      <c r="J48" s="1">
        <v>0</v>
      </c>
      <c r="K48">
        <v>4.87E-2</v>
      </c>
      <c r="L48">
        <v>0.1</v>
      </c>
      <c r="M48">
        <v>0.1</v>
      </c>
      <c r="N48">
        <v>30</v>
      </c>
    </row>
    <row r="49" spans="1:14" x14ac:dyDescent="0.25">
      <c r="A49" t="s">
        <v>26</v>
      </c>
      <c r="B49">
        <v>170</v>
      </c>
      <c r="C49">
        <v>97</v>
      </c>
      <c r="D49">
        <v>79</v>
      </c>
      <c r="E49">
        <v>116</v>
      </c>
      <c r="F49">
        <v>149</v>
      </c>
      <c r="G49">
        <v>650</v>
      </c>
      <c r="H49">
        <v>55</v>
      </c>
      <c r="I49">
        <v>855</v>
      </c>
      <c r="J49" s="1">
        <v>0</v>
      </c>
      <c r="K49">
        <v>4.87E-2</v>
      </c>
      <c r="L49">
        <v>0.48</v>
      </c>
      <c r="M49">
        <v>0.1</v>
      </c>
      <c r="N49">
        <v>30</v>
      </c>
    </row>
    <row r="50" spans="1:14" x14ac:dyDescent="0.25">
      <c r="A50" t="s">
        <v>27</v>
      </c>
      <c r="B50">
        <v>170</v>
      </c>
      <c r="C50">
        <v>75</v>
      </c>
      <c r="D50">
        <v>66</v>
      </c>
      <c r="E50">
        <v>93</v>
      </c>
      <c r="F50">
        <v>99</v>
      </c>
      <c r="G50">
        <v>224</v>
      </c>
      <c r="H50">
        <v>52</v>
      </c>
      <c r="I50">
        <v>555</v>
      </c>
      <c r="J50" s="1">
        <v>0</v>
      </c>
      <c r="K50">
        <v>4.87E-2</v>
      </c>
      <c r="L50">
        <v>0.04</v>
      </c>
      <c r="M50">
        <v>0.1</v>
      </c>
      <c r="N50">
        <v>30</v>
      </c>
    </row>
    <row r="51" spans="1:14" x14ac:dyDescent="0.25">
      <c r="A51" t="s">
        <v>28</v>
      </c>
      <c r="B51">
        <v>46878</v>
      </c>
      <c r="C51">
        <v>649</v>
      </c>
      <c r="D51">
        <v>372</v>
      </c>
      <c r="E51">
        <v>1681</v>
      </c>
      <c r="F51">
        <v>2020</v>
      </c>
      <c r="G51">
        <v>2711</v>
      </c>
      <c r="H51">
        <v>0</v>
      </c>
      <c r="I51">
        <v>7713</v>
      </c>
      <c r="J51" s="1">
        <v>1.32E-3</v>
      </c>
      <c r="K51">
        <v>13.021800000000001</v>
      </c>
      <c r="L51">
        <v>4348.33</v>
      </c>
      <c r="M51">
        <v>336.77</v>
      </c>
      <c r="N51">
        <v>30</v>
      </c>
    </row>
    <row r="53" spans="1:14" x14ac:dyDescent="0.25">
      <c r="A53" t="s">
        <v>13</v>
      </c>
      <c r="B53">
        <v>5887</v>
      </c>
      <c r="C53">
        <v>10007</v>
      </c>
      <c r="D53">
        <v>10401</v>
      </c>
      <c r="E53">
        <v>13036</v>
      </c>
      <c r="F53">
        <v>13914</v>
      </c>
      <c r="G53">
        <v>15680</v>
      </c>
      <c r="H53">
        <v>480</v>
      </c>
      <c r="I53">
        <v>18697</v>
      </c>
      <c r="J53" s="1">
        <v>2.7200000000000002E-3</v>
      </c>
      <c r="K53">
        <v>1.5089300000000001</v>
      </c>
      <c r="L53">
        <v>2439.0300000000002</v>
      </c>
      <c r="M53">
        <v>90.52</v>
      </c>
      <c r="N53">
        <v>50</v>
      </c>
    </row>
    <row r="54" spans="1:14" x14ac:dyDescent="0.25">
      <c r="A54" t="s">
        <v>23</v>
      </c>
      <c r="B54">
        <v>1981</v>
      </c>
      <c r="C54">
        <v>2869</v>
      </c>
      <c r="D54">
        <v>3192</v>
      </c>
      <c r="E54">
        <v>5926</v>
      </c>
      <c r="F54">
        <v>6458</v>
      </c>
      <c r="G54">
        <v>7254</v>
      </c>
      <c r="H54">
        <v>0</v>
      </c>
      <c r="I54">
        <v>8608</v>
      </c>
      <c r="J54" s="1">
        <v>5.0499999999999998E-3</v>
      </c>
      <c r="K54">
        <v>0.50836999999999999</v>
      </c>
      <c r="L54">
        <v>5.38</v>
      </c>
      <c r="M54">
        <v>1.06</v>
      </c>
      <c r="N54">
        <v>50</v>
      </c>
    </row>
    <row r="55" spans="1:14" x14ac:dyDescent="0.25">
      <c r="A55" t="s">
        <v>24</v>
      </c>
      <c r="B55">
        <v>1981</v>
      </c>
      <c r="C55">
        <v>2322</v>
      </c>
      <c r="D55">
        <v>2230</v>
      </c>
      <c r="E55">
        <v>4197</v>
      </c>
      <c r="F55">
        <v>4865</v>
      </c>
      <c r="G55">
        <v>6997</v>
      </c>
      <c r="H55">
        <v>1</v>
      </c>
      <c r="I55">
        <v>9848</v>
      </c>
      <c r="J55" s="1">
        <v>2.5200000000000001E-3</v>
      </c>
      <c r="K55">
        <v>0.50824999999999998</v>
      </c>
      <c r="L55">
        <v>8.7899999999999991</v>
      </c>
      <c r="M55">
        <v>2.37</v>
      </c>
      <c r="N55">
        <v>50</v>
      </c>
    </row>
    <row r="56" spans="1:14" x14ac:dyDescent="0.25">
      <c r="A56" t="s">
        <v>14</v>
      </c>
      <c r="B56">
        <v>4238</v>
      </c>
      <c r="C56">
        <v>4864</v>
      </c>
      <c r="D56">
        <v>4937</v>
      </c>
      <c r="E56">
        <v>8884</v>
      </c>
      <c r="F56">
        <v>9946</v>
      </c>
      <c r="G56">
        <v>11712</v>
      </c>
      <c r="H56">
        <v>0</v>
      </c>
      <c r="I56">
        <v>13600</v>
      </c>
      <c r="J56" s="1">
        <v>7.5500000000000003E-3</v>
      </c>
      <c r="K56">
        <v>1.08833</v>
      </c>
      <c r="L56">
        <v>181.82</v>
      </c>
      <c r="M56">
        <v>52.69</v>
      </c>
      <c r="N56">
        <v>50</v>
      </c>
    </row>
    <row r="57" spans="1:14" x14ac:dyDescent="0.25">
      <c r="A57" t="s">
        <v>15</v>
      </c>
      <c r="B57">
        <v>4231</v>
      </c>
      <c r="C57">
        <v>4521</v>
      </c>
      <c r="D57">
        <v>4871</v>
      </c>
      <c r="E57">
        <v>8727</v>
      </c>
      <c r="F57">
        <v>9682</v>
      </c>
      <c r="G57">
        <v>11560</v>
      </c>
      <c r="H57">
        <v>4</v>
      </c>
      <c r="I57">
        <v>15385</v>
      </c>
      <c r="J57" s="1">
        <v>7.5599999999999999E-3</v>
      </c>
      <c r="K57">
        <v>1.08731</v>
      </c>
      <c r="L57">
        <v>199.38</v>
      </c>
      <c r="M57">
        <v>59.58</v>
      </c>
      <c r="N57">
        <v>50</v>
      </c>
    </row>
    <row r="58" spans="1:14" x14ac:dyDescent="0.25">
      <c r="A58" t="s">
        <v>16</v>
      </c>
      <c r="B58">
        <v>4228</v>
      </c>
      <c r="C58">
        <v>4880</v>
      </c>
      <c r="D58">
        <v>4973</v>
      </c>
      <c r="E58">
        <v>8294</v>
      </c>
      <c r="F58">
        <v>8946</v>
      </c>
      <c r="G58">
        <v>10443</v>
      </c>
      <c r="H58">
        <v>1</v>
      </c>
      <c r="I58">
        <v>14286</v>
      </c>
      <c r="J58" s="1">
        <v>1.0880000000000001E-2</v>
      </c>
      <c r="K58">
        <v>1.0872299999999999</v>
      </c>
      <c r="L58">
        <v>106.81</v>
      </c>
      <c r="M58">
        <v>18.86</v>
      </c>
      <c r="N58">
        <v>50</v>
      </c>
    </row>
    <row r="59" spans="1:14" x14ac:dyDescent="0.25">
      <c r="A59" t="s">
        <v>17</v>
      </c>
      <c r="B59">
        <v>5254</v>
      </c>
      <c r="C59">
        <v>545</v>
      </c>
      <c r="D59">
        <v>99</v>
      </c>
      <c r="E59">
        <v>2286</v>
      </c>
      <c r="F59">
        <v>3121</v>
      </c>
      <c r="G59">
        <v>4526</v>
      </c>
      <c r="H59">
        <v>3</v>
      </c>
      <c r="I59">
        <v>6705</v>
      </c>
      <c r="J59" s="1">
        <v>1.14E-3</v>
      </c>
      <c r="K59">
        <v>1.3525</v>
      </c>
      <c r="L59">
        <v>31.13</v>
      </c>
      <c r="M59">
        <v>2.02</v>
      </c>
      <c r="N59">
        <v>50</v>
      </c>
    </row>
    <row r="60" spans="1:14" x14ac:dyDescent="0.25">
      <c r="A60" t="s">
        <v>20</v>
      </c>
      <c r="B60">
        <v>1301</v>
      </c>
      <c r="C60">
        <v>718</v>
      </c>
      <c r="D60">
        <v>81</v>
      </c>
      <c r="E60">
        <v>2776</v>
      </c>
      <c r="F60">
        <v>3668</v>
      </c>
      <c r="G60">
        <v>4858</v>
      </c>
      <c r="H60">
        <v>15</v>
      </c>
      <c r="I60">
        <v>7010</v>
      </c>
      <c r="J60" s="1">
        <v>3.0699999999999998E-3</v>
      </c>
      <c r="K60">
        <v>0.33537</v>
      </c>
      <c r="L60">
        <v>1.03</v>
      </c>
      <c r="M60">
        <v>0.59</v>
      </c>
      <c r="N60">
        <v>50</v>
      </c>
    </row>
    <row r="61" spans="1:14" x14ac:dyDescent="0.25">
      <c r="A61" t="s">
        <v>21</v>
      </c>
      <c r="B61">
        <v>1301</v>
      </c>
      <c r="C61">
        <v>127</v>
      </c>
      <c r="D61">
        <v>59</v>
      </c>
      <c r="E61">
        <v>78</v>
      </c>
      <c r="F61">
        <v>88</v>
      </c>
      <c r="G61">
        <v>2763</v>
      </c>
      <c r="H61">
        <v>34</v>
      </c>
      <c r="I61">
        <v>6477</v>
      </c>
      <c r="J61" s="1">
        <v>0</v>
      </c>
      <c r="K61">
        <v>0.33538000000000001</v>
      </c>
      <c r="L61">
        <v>1.2</v>
      </c>
      <c r="M61">
        <v>0.59</v>
      </c>
      <c r="N61">
        <v>50</v>
      </c>
    </row>
    <row r="62" spans="1:14" x14ac:dyDescent="0.25">
      <c r="A62" t="s">
        <v>18</v>
      </c>
      <c r="B62">
        <v>1749</v>
      </c>
      <c r="C62">
        <v>1339</v>
      </c>
      <c r="D62">
        <v>206</v>
      </c>
      <c r="E62">
        <v>3401</v>
      </c>
      <c r="F62">
        <v>4042</v>
      </c>
      <c r="G62">
        <v>5201</v>
      </c>
      <c r="H62">
        <v>61</v>
      </c>
      <c r="I62">
        <v>8011</v>
      </c>
      <c r="J62" s="1">
        <v>2.8600000000000001E-3</v>
      </c>
      <c r="K62">
        <v>0.45106000000000002</v>
      </c>
      <c r="L62">
        <v>13.34</v>
      </c>
      <c r="M62">
        <v>1.91</v>
      </c>
      <c r="N62">
        <v>50</v>
      </c>
    </row>
    <row r="63" spans="1:14" x14ac:dyDescent="0.25">
      <c r="A63" t="s">
        <v>22</v>
      </c>
      <c r="B63">
        <v>1438</v>
      </c>
      <c r="C63">
        <v>235</v>
      </c>
      <c r="D63">
        <v>111</v>
      </c>
      <c r="E63">
        <v>148</v>
      </c>
      <c r="F63">
        <v>194</v>
      </c>
      <c r="G63">
        <v>4926</v>
      </c>
      <c r="H63">
        <v>45</v>
      </c>
      <c r="I63">
        <v>8087</v>
      </c>
      <c r="J63" s="1">
        <v>0</v>
      </c>
      <c r="K63">
        <v>0.37062</v>
      </c>
      <c r="L63">
        <v>5.43</v>
      </c>
      <c r="M63">
        <v>1.17</v>
      </c>
      <c r="N63">
        <v>50</v>
      </c>
    </row>
    <row r="64" spans="1:14" x14ac:dyDescent="0.25">
      <c r="A64" t="s">
        <v>19</v>
      </c>
      <c r="B64">
        <v>1749</v>
      </c>
      <c r="C64">
        <v>2910</v>
      </c>
      <c r="D64">
        <v>2640</v>
      </c>
      <c r="E64">
        <v>5423</v>
      </c>
      <c r="F64">
        <v>6413</v>
      </c>
      <c r="G64">
        <v>7924</v>
      </c>
      <c r="H64">
        <v>99</v>
      </c>
      <c r="I64">
        <v>11634</v>
      </c>
      <c r="J64" s="1">
        <v>2.8600000000000001E-3</v>
      </c>
      <c r="K64">
        <v>0.45058999999999999</v>
      </c>
      <c r="L64">
        <v>48.79</v>
      </c>
      <c r="M64">
        <v>5.23</v>
      </c>
      <c r="N64">
        <v>50</v>
      </c>
    </row>
    <row r="65" spans="1:14" x14ac:dyDescent="0.25">
      <c r="A65" t="s">
        <v>25</v>
      </c>
      <c r="B65">
        <v>137</v>
      </c>
      <c r="C65">
        <v>565</v>
      </c>
      <c r="D65">
        <v>84</v>
      </c>
      <c r="E65">
        <v>2457</v>
      </c>
      <c r="F65">
        <v>3770</v>
      </c>
      <c r="G65">
        <v>4660</v>
      </c>
      <c r="H65">
        <v>63</v>
      </c>
      <c r="I65">
        <v>4761</v>
      </c>
      <c r="J65" s="1">
        <v>0</v>
      </c>
      <c r="K65">
        <v>3.601E-2</v>
      </c>
      <c r="L65">
        <v>0.08</v>
      </c>
      <c r="M65">
        <v>0.08</v>
      </c>
      <c r="N65">
        <v>50</v>
      </c>
    </row>
    <row r="66" spans="1:14" x14ac:dyDescent="0.25">
      <c r="A66" t="s">
        <v>26</v>
      </c>
      <c r="B66">
        <v>137</v>
      </c>
      <c r="C66">
        <v>111</v>
      </c>
      <c r="D66">
        <v>67</v>
      </c>
      <c r="E66">
        <v>92</v>
      </c>
      <c r="F66">
        <v>103</v>
      </c>
      <c r="G66">
        <v>984</v>
      </c>
      <c r="H66">
        <v>54</v>
      </c>
      <c r="I66">
        <v>4557</v>
      </c>
      <c r="J66" s="1">
        <v>0</v>
      </c>
      <c r="K66">
        <v>3.6020000000000003E-2</v>
      </c>
      <c r="L66">
        <v>0.35</v>
      </c>
      <c r="M66">
        <v>7.0000000000000007E-2</v>
      </c>
      <c r="N66">
        <v>50</v>
      </c>
    </row>
    <row r="67" spans="1:14" x14ac:dyDescent="0.25">
      <c r="A67" t="s">
        <v>27</v>
      </c>
      <c r="B67">
        <v>137</v>
      </c>
      <c r="C67">
        <v>78</v>
      </c>
      <c r="D67">
        <v>59</v>
      </c>
      <c r="E67">
        <v>77</v>
      </c>
      <c r="F67">
        <v>83</v>
      </c>
      <c r="G67">
        <v>294</v>
      </c>
      <c r="H67">
        <v>50</v>
      </c>
      <c r="I67">
        <v>2135</v>
      </c>
      <c r="J67" s="1">
        <v>0</v>
      </c>
      <c r="K67">
        <v>3.6020000000000003E-2</v>
      </c>
      <c r="L67">
        <v>0.03</v>
      </c>
      <c r="M67">
        <v>7.0000000000000007E-2</v>
      </c>
      <c r="N67">
        <v>50</v>
      </c>
    </row>
    <row r="68" spans="1:14" x14ac:dyDescent="0.25">
      <c r="A68" t="s">
        <v>28</v>
      </c>
      <c r="B68">
        <v>35749</v>
      </c>
      <c r="C68">
        <v>3955</v>
      </c>
      <c r="D68">
        <v>2831</v>
      </c>
      <c r="E68">
        <v>10206</v>
      </c>
      <c r="F68">
        <v>11488</v>
      </c>
      <c r="G68">
        <v>13630</v>
      </c>
      <c r="H68">
        <v>0</v>
      </c>
      <c r="I68">
        <v>18697</v>
      </c>
      <c r="J68" s="1">
        <v>4.4999999999999997E-3</v>
      </c>
      <c r="K68">
        <v>9.1630099999999999</v>
      </c>
      <c r="L68">
        <v>3040.83</v>
      </c>
      <c r="M68">
        <v>236.44</v>
      </c>
      <c r="N68">
        <v>50</v>
      </c>
    </row>
    <row r="70" spans="1:14" x14ac:dyDescent="0.25">
      <c r="A70" t="s">
        <v>13</v>
      </c>
      <c r="B70">
        <v>4219</v>
      </c>
      <c r="C70">
        <v>24687</v>
      </c>
      <c r="D70">
        <v>30174</v>
      </c>
      <c r="E70">
        <v>39587</v>
      </c>
      <c r="F70">
        <v>42382</v>
      </c>
      <c r="G70">
        <v>47406</v>
      </c>
      <c r="H70">
        <v>488</v>
      </c>
      <c r="I70">
        <v>78040</v>
      </c>
      <c r="J70" s="1">
        <v>7.3499999999999998E-3</v>
      </c>
      <c r="K70">
        <v>1.1667400000000001</v>
      </c>
      <c r="L70">
        <v>1885.13</v>
      </c>
      <c r="M70">
        <v>69.98</v>
      </c>
      <c r="N70">
        <v>100</v>
      </c>
    </row>
    <row r="71" spans="1:14" x14ac:dyDescent="0.25">
      <c r="A71" t="s">
        <v>23</v>
      </c>
      <c r="B71">
        <v>1423</v>
      </c>
      <c r="C71">
        <v>10304</v>
      </c>
      <c r="D71">
        <v>13440</v>
      </c>
      <c r="E71">
        <v>16457</v>
      </c>
      <c r="F71">
        <v>17183</v>
      </c>
      <c r="G71">
        <v>19303</v>
      </c>
      <c r="H71">
        <v>9</v>
      </c>
      <c r="I71">
        <v>23961</v>
      </c>
      <c r="J71" s="1">
        <v>6.9999999999999999E-4</v>
      </c>
      <c r="K71">
        <v>0.39456999999999998</v>
      </c>
      <c r="L71">
        <v>4.1900000000000004</v>
      </c>
      <c r="M71">
        <v>0.83</v>
      </c>
      <c r="N71">
        <v>100</v>
      </c>
    </row>
    <row r="72" spans="1:14" x14ac:dyDescent="0.25">
      <c r="A72" t="s">
        <v>24</v>
      </c>
      <c r="B72">
        <v>1417</v>
      </c>
      <c r="C72">
        <v>5995</v>
      </c>
      <c r="D72">
        <v>6924</v>
      </c>
      <c r="E72">
        <v>8821</v>
      </c>
      <c r="F72">
        <v>9552</v>
      </c>
      <c r="G72">
        <v>25982</v>
      </c>
      <c r="H72">
        <v>230</v>
      </c>
      <c r="I72">
        <v>45954</v>
      </c>
      <c r="J72" s="1">
        <v>1.41E-3</v>
      </c>
      <c r="K72">
        <v>0.39357999999999999</v>
      </c>
      <c r="L72">
        <v>6.81</v>
      </c>
      <c r="M72">
        <v>1.84</v>
      </c>
      <c r="N72">
        <v>100</v>
      </c>
    </row>
    <row r="73" spans="1:14" x14ac:dyDescent="0.25">
      <c r="A73" t="s">
        <v>14</v>
      </c>
      <c r="B73">
        <v>3007</v>
      </c>
      <c r="C73">
        <v>13350</v>
      </c>
      <c r="D73">
        <v>12980</v>
      </c>
      <c r="E73">
        <v>27892</v>
      </c>
      <c r="F73">
        <v>31728</v>
      </c>
      <c r="G73">
        <v>36812</v>
      </c>
      <c r="H73">
        <v>1</v>
      </c>
      <c r="I73">
        <v>63307</v>
      </c>
      <c r="J73" s="1">
        <v>3.6600000000000001E-3</v>
      </c>
      <c r="K73">
        <v>0.83343999999999996</v>
      </c>
      <c r="L73">
        <v>137.03</v>
      </c>
      <c r="M73">
        <v>39.89</v>
      </c>
      <c r="N73">
        <v>100</v>
      </c>
    </row>
    <row r="74" spans="1:14" x14ac:dyDescent="0.25">
      <c r="A74" t="s">
        <v>15</v>
      </c>
      <c r="B74">
        <v>2993</v>
      </c>
      <c r="C74">
        <v>12808</v>
      </c>
      <c r="D74">
        <v>11318</v>
      </c>
      <c r="E74">
        <v>28685</v>
      </c>
      <c r="F74">
        <v>31942</v>
      </c>
      <c r="G74">
        <v>37602</v>
      </c>
      <c r="H74">
        <v>0</v>
      </c>
      <c r="I74">
        <v>51595</v>
      </c>
      <c r="J74" s="1">
        <v>5.3499999999999997E-3</v>
      </c>
      <c r="K74">
        <v>0.82967999999999997</v>
      </c>
      <c r="L74">
        <v>152.76</v>
      </c>
      <c r="M74">
        <v>45.75</v>
      </c>
      <c r="N74">
        <v>100</v>
      </c>
    </row>
    <row r="75" spans="1:14" x14ac:dyDescent="0.25">
      <c r="A75" t="s">
        <v>16</v>
      </c>
      <c r="B75">
        <v>2976</v>
      </c>
      <c r="C75">
        <v>13867</v>
      </c>
      <c r="D75">
        <v>13984</v>
      </c>
      <c r="E75">
        <v>26767</v>
      </c>
      <c r="F75">
        <v>28992</v>
      </c>
      <c r="G75">
        <v>34844</v>
      </c>
      <c r="H75">
        <v>1</v>
      </c>
      <c r="I75">
        <v>48713</v>
      </c>
      <c r="J75" s="1">
        <v>5.3800000000000002E-3</v>
      </c>
      <c r="K75">
        <v>0.82599</v>
      </c>
      <c r="L75">
        <v>81.47</v>
      </c>
      <c r="M75">
        <v>14.42</v>
      </c>
      <c r="N75">
        <v>100</v>
      </c>
    </row>
    <row r="76" spans="1:14" x14ac:dyDescent="0.25">
      <c r="A76" t="s">
        <v>17</v>
      </c>
      <c r="B76">
        <v>3704</v>
      </c>
      <c r="C76">
        <v>1658</v>
      </c>
      <c r="D76">
        <v>102</v>
      </c>
      <c r="E76">
        <v>7529</v>
      </c>
      <c r="F76">
        <v>8160</v>
      </c>
      <c r="G76">
        <v>9792</v>
      </c>
      <c r="H76">
        <v>7</v>
      </c>
      <c r="I76">
        <v>16935</v>
      </c>
      <c r="J76" s="1">
        <v>5.4000000000000001E-4</v>
      </c>
      <c r="K76">
        <v>1.0317499999999999</v>
      </c>
      <c r="L76">
        <v>23.13</v>
      </c>
      <c r="M76">
        <v>1.55</v>
      </c>
      <c r="N76">
        <v>100</v>
      </c>
    </row>
    <row r="77" spans="1:14" x14ac:dyDescent="0.25">
      <c r="A77" t="s">
        <v>18</v>
      </c>
      <c r="B77">
        <v>1234</v>
      </c>
      <c r="C77">
        <v>3115</v>
      </c>
      <c r="D77">
        <v>163</v>
      </c>
      <c r="E77">
        <v>8147</v>
      </c>
      <c r="F77">
        <v>8799</v>
      </c>
      <c r="G77">
        <v>14343</v>
      </c>
      <c r="H77">
        <v>61</v>
      </c>
      <c r="I77">
        <v>26598</v>
      </c>
      <c r="J77" s="1">
        <v>1.6199999999999999E-3</v>
      </c>
      <c r="K77">
        <v>0.34426000000000001</v>
      </c>
      <c r="L77">
        <v>10.14</v>
      </c>
      <c r="M77">
        <v>1.45</v>
      </c>
      <c r="N77">
        <v>100</v>
      </c>
    </row>
    <row r="78" spans="1:14" x14ac:dyDescent="0.25">
      <c r="A78" t="s">
        <v>19</v>
      </c>
      <c r="B78">
        <v>1234</v>
      </c>
      <c r="C78">
        <v>7172</v>
      </c>
      <c r="D78">
        <v>7193</v>
      </c>
      <c r="E78">
        <v>15679</v>
      </c>
      <c r="F78">
        <v>18005</v>
      </c>
      <c r="G78">
        <v>24241</v>
      </c>
      <c r="H78">
        <v>97</v>
      </c>
      <c r="I78">
        <v>41034</v>
      </c>
      <c r="J78" s="1">
        <v>3.2399999999999998E-3</v>
      </c>
      <c r="K78">
        <v>0.34256999999999999</v>
      </c>
      <c r="L78">
        <v>37.26</v>
      </c>
      <c r="M78">
        <v>4.01</v>
      </c>
      <c r="N78">
        <v>100</v>
      </c>
    </row>
    <row r="79" spans="1:14" x14ac:dyDescent="0.25">
      <c r="A79" t="s">
        <v>20</v>
      </c>
      <c r="B79">
        <v>914</v>
      </c>
      <c r="C79">
        <v>2653</v>
      </c>
      <c r="D79">
        <v>91</v>
      </c>
      <c r="E79">
        <v>7973</v>
      </c>
      <c r="F79">
        <v>8659</v>
      </c>
      <c r="G79">
        <v>10169</v>
      </c>
      <c r="H79">
        <v>1</v>
      </c>
      <c r="I79">
        <v>13291</v>
      </c>
      <c r="J79" s="1">
        <v>2.1900000000000001E-3</v>
      </c>
      <c r="K79">
        <v>0.25594</v>
      </c>
      <c r="L79">
        <v>0.8</v>
      </c>
      <c r="M79">
        <v>0.45</v>
      </c>
      <c r="N79">
        <v>100</v>
      </c>
    </row>
    <row r="80" spans="1:14" x14ac:dyDescent="0.25">
      <c r="A80" t="s">
        <v>21</v>
      </c>
      <c r="B80">
        <v>914</v>
      </c>
      <c r="C80">
        <v>286</v>
      </c>
      <c r="D80">
        <v>58</v>
      </c>
      <c r="E80">
        <v>79</v>
      </c>
      <c r="F80">
        <v>99</v>
      </c>
      <c r="G80">
        <v>8718</v>
      </c>
      <c r="H80">
        <v>0</v>
      </c>
      <c r="I80">
        <v>13665</v>
      </c>
      <c r="J80" s="1">
        <v>1.09E-3</v>
      </c>
      <c r="K80">
        <v>0.25594</v>
      </c>
      <c r="L80">
        <v>0.92</v>
      </c>
      <c r="M80">
        <v>0.45</v>
      </c>
      <c r="N80">
        <v>100</v>
      </c>
    </row>
    <row r="81" spans="1:14" x14ac:dyDescent="0.25">
      <c r="A81" t="s">
        <v>22</v>
      </c>
      <c r="B81">
        <v>1011</v>
      </c>
      <c r="C81">
        <v>478</v>
      </c>
      <c r="D81">
        <v>110</v>
      </c>
      <c r="E81">
        <v>154</v>
      </c>
      <c r="F81">
        <v>359</v>
      </c>
      <c r="G81">
        <v>12866</v>
      </c>
      <c r="H81">
        <v>1</v>
      </c>
      <c r="I81">
        <v>29420</v>
      </c>
      <c r="J81" s="1">
        <v>9.8999999999999999E-4</v>
      </c>
      <c r="K81">
        <v>0.28308</v>
      </c>
      <c r="L81">
        <v>4.1399999999999997</v>
      </c>
      <c r="M81">
        <v>0.9</v>
      </c>
      <c r="N81">
        <v>100</v>
      </c>
    </row>
    <row r="82" spans="1:14" x14ac:dyDescent="0.25">
      <c r="A82" t="s">
        <v>25</v>
      </c>
      <c r="B82">
        <v>97</v>
      </c>
      <c r="C82">
        <v>509</v>
      </c>
      <c r="D82">
        <v>80</v>
      </c>
      <c r="E82">
        <v>110</v>
      </c>
      <c r="F82">
        <v>945</v>
      </c>
      <c r="G82">
        <v>8236</v>
      </c>
      <c r="H82">
        <v>64</v>
      </c>
      <c r="I82">
        <v>9379</v>
      </c>
      <c r="J82" s="1">
        <v>0</v>
      </c>
      <c r="K82">
        <v>2.768E-2</v>
      </c>
      <c r="L82">
        <v>0.06</v>
      </c>
      <c r="M82">
        <v>0.06</v>
      </c>
      <c r="N82">
        <v>100</v>
      </c>
    </row>
    <row r="83" spans="1:14" x14ac:dyDescent="0.25">
      <c r="A83" t="s">
        <v>26</v>
      </c>
      <c r="B83">
        <v>97</v>
      </c>
      <c r="C83">
        <v>318</v>
      </c>
      <c r="D83">
        <v>72</v>
      </c>
      <c r="E83">
        <v>99</v>
      </c>
      <c r="F83">
        <v>132</v>
      </c>
      <c r="G83">
        <v>6607</v>
      </c>
      <c r="H83">
        <v>55</v>
      </c>
      <c r="I83">
        <v>8145</v>
      </c>
      <c r="J83" s="1">
        <v>0</v>
      </c>
      <c r="K83">
        <v>2.768E-2</v>
      </c>
      <c r="L83">
        <v>0.27</v>
      </c>
      <c r="M83">
        <v>0.06</v>
      </c>
      <c r="N83">
        <v>100</v>
      </c>
    </row>
    <row r="84" spans="1:14" x14ac:dyDescent="0.25">
      <c r="A84" t="s">
        <v>27</v>
      </c>
      <c r="B84">
        <v>97</v>
      </c>
      <c r="C84">
        <v>199</v>
      </c>
      <c r="D84">
        <v>59</v>
      </c>
      <c r="E84">
        <v>73</v>
      </c>
      <c r="F84">
        <v>84</v>
      </c>
      <c r="G84">
        <v>121</v>
      </c>
      <c r="H84">
        <v>50</v>
      </c>
      <c r="I84">
        <v>13395</v>
      </c>
      <c r="J84" s="1">
        <v>0</v>
      </c>
      <c r="K84">
        <v>2.768E-2</v>
      </c>
      <c r="L84">
        <v>0.02</v>
      </c>
      <c r="M84">
        <v>0.06</v>
      </c>
      <c r="N84">
        <v>100</v>
      </c>
    </row>
    <row r="85" spans="1:14" x14ac:dyDescent="0.25">
      <c r="A85" t="s">
        <v>28</v>
      </c>
      <c r="B85">
        <v>25337</v>
      </c>
      <c r="C85">
        <v>10623</v>
      </c>
      <c r="D85">
        <v>6862</v>
      </c>
      <c r="E85">
        <v>30462</v>
      </c>
      <c r="F85">
        <v>34658</v>
      </c>
      <c r="G85">
        <v>41963</v>
      </c>
      <c r="H85">
        <v>0</v>
      </c>
      <c r="I85">
        <v>78040</v>
      </c>
      <c r="J85" s="1">
        <v>3.5100000000000001E-3</v>
      </c>
      <c r="K85">
        <v>7.0068299999999999</v>
      </c>
      <c r="L85">
        <v>2342.64</v>
      </c>
      <c r="M85">
        <v>181.34</v>
      </c>
      <c r="N85">
        <v>100</v>
      </c>
    </row>
    <row r="87" spans="1:14" x14ac:dyDescent="0.25">
      <c r="A87" t="s">
        <v>13</v>
      </c>
      <c r="B87">
        <v>3858</v>
      </c>
      <c r="C87">
        <v>58083</v>
      </c>
      <c r="D87">
        <v>67102</v>
      </c>
      <c r="E87">
        <v>91480</v>
      </c>
      <c r="F87">
        <v>99199</v>
      </c>
      <c r="G87">
        <v>116747</v>
      </c>
      <c r="H87">
        <v>479</v>
      </c>
      <c r="I87">
        <v>216708</v>
      </c>
      <c r="J87" s="1">
        <v>4.3290000000000002E-2</v>
      </c>
      <c r="K87">
        <v>1.06104</v>
      </c>
      <c r="L87">
        <v>1708</v>
      </c>
      <c r="M87">
        <v>63.4</v>
      </c>
      <c r="N87">
        <v>200</v>
      </c>
    </row>
    <row r="88" spans="1:14" x14ac:dyDescent="0.25">
      <c r="A88" t="s">
        <v>23</v>
      </c>
      <c r="B88">
        <v>1298</v>
      </c>
      <c r="C88">
        <v>23978</v>
      </c>
      <c r="D88">
        <v>29792</v>
      </c>
      <c r="E88">
        <v>34656</v>
      </c>
      <c r="F88">
        <v>37765</v>
      </c>
      <c r="G88">
        <v>53060</v>
      </c>
      <c r="H88">
        <v>74</v>
      </c>
      <c r="I88">
        <v>86730</v>
      </c>
      <c r="J88" s="1">
        <v>1.5399999999999999E-3</v>
      </c>
      <c r="K88">
        <v>0.35901</v>
      </c>
      <c r="L88">
        <v>4.6100000000000003</v>
      </c>
      <c r="M88">
        <v>0.81</v>
      </c>
      <c r="N88">
        <v>200</v>
      </c>
    </row>
    <row r="89" spans="1:14" x14ac:dyDescent="0.25">
      <c r="A89" t="s">
        <v>24</v>
      </c>
      <c r="B89">
        <v>1284</v>
      </c>
      <c r="C89">
        <v>13902</v>
      </c>
      <c r="D89">
        <v>15026</v>
      </c>
      <c r="E89">
        <v>17966</v>
      </c>
      <c r="F89">
        <v>31014</v>
      </c>
      <c r="G89">
        <v>64884</v>
      </c>
      <c r="H89">
        <v>1</v>
      </c>
      <c r="I89">
        <v>90869</v>
      </c>
      <c r="J89" s="1">
        <v>2.3400000000000001E-3</v>
      </c>
      <c r="K89">
        <v>0.35629</v>
      </c>
      <c r="L89">
        <v>8.4</v>
      </c>
      <c r="M89">
        <v>1.75</v>
      </c>
      <c r="N89">
        <v>200</v>
      </c>
    </row>
    <row r="90" spans="1:14" x14ac:dyDescent="0.25">
      <c r="A90" t="s">
        <v>14</v>
      </c>
      <c r="B90">
        <v>2709</v>
      </c>
      <c r="C90">
        <v>32201</v>
      </c>
      <c r="D90">
        <v>31298</v>
      </c>
      <c r="E90">
        <v>64926</v>
      </c>
      <c r="F90">
        <v>72304</v>
      </c>
      <c r="G90">
        <v>89358</v>
      </c>
      <c r="H90">
        <v>0</v>
      </c>
      <c r="I90">
        <v>195806</v>
      </c>
      <c r="J90" s="1">
        <v>3.7280000000000001E-2</v>
      </c>
      <c r="K90">
        <v>0.74765000000000004</v>
      </c>
      <c r="L90">
        <v>123.42</v>
      </c>
      <c r="M90">
        <v>35.81</v>
      </c>
      <c r="N90">
        <v>200</v>
      </c>
    </row>
    <row r="91" spans="1:14" x14ac:dyDescent="0.25">
      <c r="A91" t="s">
        <v>15</v>
      </c>
      <c r="B91">
        <v>2672</v>
      </c>
      <c r="C91">
        <v>30899</v>
      </c>
      <c r="D91">
        <v>30283</v>
      </c>
      <c r="E91">
        <v>66867</v>
      </c>
      <c r="F91">
        <v>73774</v>
      </c>
      <c r="G91">
        <v>89902</v>
      </c>
      <c r="H91">
        <v>0</v>
      </c>
      <c r="I91">
        <v>125425</v>
      </c>
      <c r="J91" s="1">
        <v>3.0689999999999999E-2</v>
      </c>
      <c r="K91">
        <v>0.73685</v>
      </c>
      <c r="L91">
        <v>134.93</v>
      </c>
      <c r="M91">
        <v>40.19</v>
      </c>
      <c r="N91">
        <v>200</v>
      </c>
    </row>
    <row r="92" spans="1:14" x14ac:dyDescent="0.25">
      <c r="A92" t="s">
        <v>16</v>
      </c>
      <c r="B92">
        <v>2654</v>
      </c>
      <c r="C92">
        <v>32343</v>
      </c>
      <c r="D92">
        <v>32754</v>
      </c>
      <c r="E92">
        <v>60752</v>
      </c>
      <c r="F92">
        <v>67269</v>
      </c>
      <c r="G92">
        <v>81041</v>
      </c>
      <c r="H92">
        <v>1</v>
      </c>
      <c r="I92">
        <v>115850</v>
      </c>
      <c r="J92" s="1">
        <v>3.8809999999999997E-2</v>
      </c>
      <c r="K92">
        <v>0.73316000000000003</v>
      </c>
      <c r="L92">
        <v>72.06</v>
      </c>
      <c r="M92">
        <v>12.67</v>
      </c>
      <c r="N92">
        <v>200</v>
      </c>
    </row>
    <row r="93" spans="1:14" x14ac:dyDescent="0.25">
      <c r="A93" t="s">
        <v>17</v>
      </c>
      <c r="B93">
        <v>3296</v>
      </c>
      <c r="C93">
        <v>3950</v>
      </c>
      <c r="D93">
        <v>102</v>
      </c>
      <c r="E93">
        <v>16312</v>
      </c>
      <c r="F93">
        <v>17779</v>
      </c>
      <c r="G93">
        <v>24902</v>
      </c>
      <c r="H93">
        <v>1</v>
      </c>
      <c r="I93">
        <v>43668</v>
      </c>
      <c r="J93" s="1">
        <v>1.2099999999999999E-3</v>
      </c>
      <c r="K93">
        <v>0.91608999999999996</v>
      </c>
      <c r="L93">
        <v>20.9</v>
      </c>
      <c r="M93">
        <v>1.37</v>
      </c>
      <c r="N93">
        <v>200</v>
      </c>
    </row>
    <row r="94" spans="1:14" x14ac:dyDescent="0.25">
      <c r="A94" t="s">
        <v>18</v>
      </c>
      <c r="B94">
        <v>1096</v>
      </c>
      <c r="C94">
        <v>7183</v>
      </c>
      <c r="D94">
        <v>877</v>
      </c>
      <c r="E94">
        <v>17360</v>
      </c>
      <c r="F94">
        <v>19697</v>
      </c>
      <c r="G94">
        <v>29238</v>
      </c>
      <c r="H94">
        <v>61</v>
      </c>
      <c r="I94">
        <v>45415</v>
      </c>
      <c r="J94" s="1">
        <v>4.5599999999999998E-3</v>
      </c>
      <c r="K94">
        <v>0.30507000000000001</v>
      </c>
      <c r="L94">
        <v>8.93</v>
      </c>
      <c r="M94">
        <v>1.28</v>
      </c>
      <c r="N94">
        <v>200</v>
      </c>
    </row>
    <row r="95" spans="1:14" x14ac:dyDescent="0.25">
      <c r="A95" t="s">
        <v>19</v>
      </c>
      <c r="B95">
        <v>1094</v>
      </c>
      <c r="C95">
        <v>17018</v>
      </c>
      <c r="D95">
        <v>15822</v>
      </c>
      <c r="E95">
        <v>35218</v>
      </c>
      <c r="F95">
        <v>42523</v>
      </c>
      <c r="G95">
        <v>62004</v>
      </c>
      <c r="H95">
        <v>16</v>
      </c>
      <c r="I95">
        <v>88613</v>
      </c>
      <c r="J95" s="1">
        <v>1.9199999999999998E-2</v>
      </c>
      <c r="K95">
        <v>0.30415999999999999</v>
      </c>
      <c r="L95">
        <v>33.07</v>
      </c>
      <c r="M95">
        <v>3.56</v>
      </c>
      <c r="N95">
        <v>200</v>
      </c>
    </row>
    <row r="96" spans="1:14" x14ac:dyDescent="0.25">
      <c r="A96" t="s">
        <v>20</v>
      </c>
      <c r="B96">
        <v>805</v>
      </c>
      <c r="C96">
        <v>6305</v>
      </c>
      <c r="D96">
        <v>92</v>
      </c>
      <c r="E96">
        <v>17029</v>
      </c>
      <c r="F96">
        <v>18687</v>
      </c>
      <c r="G96">
        <v>27414</v>
      </c>
      <c r="H96">
        <v>36</v>
      </c>
      <c r="I96">
        <v>46845</v>
      </c>
      <c r="J96" s="1">
        <v>3.7299999999999998E-3</v>
      </c>
      <c r="K96">
        <v>0.22416</v>
      </c>
      <c r="L96">
        <v>0.69</v>
      </c>
      <c r="M96">
        <v>0.39</v>
      </c>
      <c r="N96">
        <v>200</v>
      </c>
    </row>
    <row r="97" spans="1:14" x14ac:dyDescent="0.25">
      <c r="A97" t="s">
        <v>21</v>
      </c>
      <c r="B97">
        <v>803</v>
      </c>
      <c r="C97">
        <v>868</v>
      </c>
      <c r="D97">
        <v>57</v>
      </c>
      <c r="E97">
        <v>74</v>
      </c>
      <c r="F97">
        <v>102</v>
      </c>
      <c r="G97">
        <v>22805</v>
      </c>
      <c r="H97">
        <v>1</v>
      </c>
      <c r="I97">
        <v>41088</v>
      </c>
      <c r="J97" s="1">
        <v>1.25E-3</v>
      </c>
      <c r="K97">
        <v>0.22500000000000001</v>
      </c>
      <c r="L97">
        <v>0.81</v>
      </c>
      <c r="M97">
        <v>0.39</v>
      </c>
      <c r="N97">
        <v>200</v>
      </c>
    </row>
    <row r="98" spans="1:14" x14ac:dyDescent="0.25">
      <c r="A98" t="s">
        <v>22</v>
      </c>
      <c r="B98">
        <v>888</v>
      </c>
      <c r="C98">
        <v>1252</v>
      </c>
      <c r="D98">
        <v>108</v>
      </c>
      <c r="E98">
        <v>152</v>
      </c>
      <c r="F98">
        <v>1062</v>
      </c>
      <c r="G98">
        <v>43983</v>
      </c>
      <c r="H98">
        <v>46</v>
      </c>
      <c r="I98">
        <v>56327</v>
      </c>
      <c r="J98" s="1">
        <v>0</v>
      </c>
      <c r="K98">
        <v>0.24879000000000001</v>
      </c>
      <c r="L98">
        <v>4.04</v>
      </c>
      <c r="M98">
        <v>0.81</v>
      </c>
      <c r="N98">
        <v>200</v>
      </c>
    </row>
    <row r="99" spans="1:14" x14ac:dyDescent="0.25">
      <c r="A99" t="s">
        <v>25</v>
      </c>
      <c r="B99">
        <v>85</v>
      </c>
      <c r="C99">
        <v>591</v>
      </c>
      <c r="D99">
        <v>81</v>
      </c>
      <c r="E99">
        <v>117</v>
      </c>
      <c r="F99">
        <v>831</v>
      </c>
      <c r="G99">
        <v>16643</v>
      </c>
      <c r="H99">
        <v>66</v>
      </c>
      <c r="I99">
        <v>23619</v>
      </c>
      <c r="J99" s="1">
        <v>0</v>
      </c>
      <c r="K99">
        <v>2.4160000000000001E-2</v>
      </c>
      <c r="L99">
        <v>0.05</v>
      </c>
      <c r="M99">
        <v>0.05</v>
      </c>
      <c r="N99">
        <v>200</v>
      </c>
    </row>
    <row r="100" spans="1:14" x14ac:dyDescent="0.25">
      <c r="A100" t="s">
        <v>26</v>
      </c>
      <c r="B100">
        <v>85</v>
      </c>
      <c r="C100">
        <v>267</v>
      </c>
      <c r="D100">
        <v>67</v>
      </c>
      <c r="E100">
        <v>88</v>
      </c>
      <c r="F100">
        <v>106</v>
      </c>
      <c r="G100">
        <v>1008</v>
      </c>
      <c r="H100">
        <v>55</v>
      </c>
      <c r="I100">
        <v>15465</v>
      </c>
      <c r="J100" s="1">
        <v>0</v>
      </c>
      <c r="K100">
        <v>2.4160000000000001E-2</v>
      </c>
      <c r="L100">
        <v>0.23</v>
      </c>
      <c r="M100">
        <v>0.05</v>
      </c>
      <c r="N100">
        <v>200</v>
      </c>
    </row>
    <row r="101" spans="1:14" x14ac:dyDescent="0.25">
      <c r="A101" t="s">
        <v>27</v>
      </c>
      <c r="B101">
        <v>85</v>
      </c>
      <c r="C101">
        <v>283</v>
      </c>
      <c r="D101">
        <v>58</v>
      </c>
      <c r="E101">
        <v>74</v>
      </c>
      <c r="F101">
        <v>81</v>
      </c>
      <c r="G101">
        <v>477</v>
      </c>
      <c r="H101">
        <v>51</v>
      </c>
      <c r="I101">
        <v>18564</v>
      </c>
      <c r="J101" s="1">
        <v>0</v>
      </c>
      <c r="K101">
        <v>2.4160000000000001E-2</v>
      </c>
      <c r="L101">
        <v>0.02</v>
      </c>
      <c r="M101">
        <v>0.05</v>
      </c>
      <c r="N101">
        <v>200</v>
      </c>
    </row>
    <row r="102" spans="1:14" x14ac:dyDescent="0.25">
      <c r="A102" t="s">
        <v>28</v>
      </c>
      <c r="B102">
        <v>22712</v>
      </c>
      <c r="C102">
        <v>25325</v>
      </c>
      <c r="D102">
        <v>15942</v>
      </c>
      <c r="E102">
        <v>69130</v>
      </c>
      <c r="F102">
        <v>80403</v>
      </c>
      <c r="G102">
        <v>98871</v>
      </c>
      <c r="H102">
        <v>0</v>
      </c>
      <c r="I102">
        <v>216708</v>
      </c>
      <c r="J102" s="1">
        <v>2.1659999999999999E-2</v>
      </c>
      <c r="K102">
        <v>6.2463100000000003</v>
      </c>
      <c r="L102">
        <v>2118.14</v>
      </c>
      <c r="M102">
        <v>162.18</v>
      </c>
      <c r="N102">
        <v>200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opLeftCell="A31" zoomScaleNormal="100" workbookViewId="0">
      <selection sqref="A1:G16"/>
    </sheetView>
  </sheetViews>
  <sheetFormatPr defaultRowHeight="15" x14ac:dyDescent="0.25"/>
  <cols>
    <col min="1" max="1" width="39.5703125" customWidth="1"/>
    <col min="2" max="2" width="10" customWidth="1"/>
    <col min="5" max="5" width="11.28515625" customWidth="1"/>
    <col min="6" max="6" width="11.140625" customWidth="1"/>
    <col min="7" max="7" width="12.42578125" customWidth="1"/>
  </cols>
  <sheetData>
    <row r="1" spans="1:7" ht="18.75" x14ac:dyDescent="0.3">
      <c r="A1" s="3" t="s">
        <v>30</v>
      </c>
      <c r="B1" s="4">
        <v>1</v>
      </c>
      <c r="C1" s="4">
        <v>10</v>
      </c>
      <c r="D1" s="4">
        <v>30</v>
      </c>
      <c r="E1" s="4">
        <v>50</v>
      </c>
      <c r="F1" s="4">
        <v>100</v>
      </c>
      <c r="G1" s="4">
        <v>200</v>
      </c>
    </row>
    <row r="2" spans="1:7" x14ac:dyDescent="0.25">
      <c r="A2" t="s">
        <v>13</v>
      </c>
      <c r="B2">
        <f>aggregated_data!C2</f>
        <v>808</v>
      </c>
      <c r="C2">
        <f>aggregated_data!C19</f>
        <v>723</v>
      </c>
      <c r="D2">
        <f>aggregated_data!C36</f>
        <v>1622</v>
      </c>
      <c r="E2">
        <f>aggregated_data!C53</f>
        <v>10007</v>
      </c>
      <c r="F2">
        <f>aggregated_data!C70</f>
        <v>24687</v>
      </c>
      <c r="G2">
        <f>aggregated_data!C87</f>
        <v>58083</v>
      </c>
    </row>
    <row r="3" spans="1:7" x14ac:dyDescent="0.25">
      <c r="A3" t="s">
        <v>14</v>
      </c>
      <c r="B3">
        <f>aggregated_data!C3</f>
        <v>316</v>
      </c>
      <c r="C3">
        <f>aggregated_data!C20</f>
        <v>103</v>
      </c>
      <c r="D3">
        <f>aggregated_data!C37</f>
        <v>250</v>
      </c>
      <c r="E3">
        <f>aggregated_data!C54</f>
        <v>2869</v>
      </c>
      <c r="F3">
        <f>aggregated_data!C71</f>
        <v>10304</v>
      </c>
      <c r="G3">
        <f>aggregated_data!C88</f>
        <v>23978</v>
      </c>
    </row>
    <row r="4" spans="1:7" x14ac:dyDescent="0.25">
      <c r="A4" t="s">
        <v>15</v>
      </c>
      <c r="B4">
        <f>aggregated_data!C4</f>
        <v>387</v>
      </c>
      <c r="C4">
        <f>aggregated_data!C21</f>
        <v>274</v>
      </c>
      <c r="D4">
        <f>aggregated_data!C38</f>
        <v>431</v>
      </c>
      <c r="E4">
        <f>aggregated_data!C55</f>
        <v>2322</v>
      </c>
      <c r="F4">
        <f>aggregated_data!C72</f>
        <v>5995</v>
      </c>
      <c r="G4">
        <f>aggregated_data!C89</f>
        <v>13902</v>
      </c>
    </row>
    <row r="5" spans="1:7" x14ac:dyDescent="0.25">
      <c r="A5" t="s">
        <v>16</v>
      </c>
      <c r="B5">
        <f>aggregated_data!C5</f>
        <v>182</v>
      </c>
      <c r="C5">
        <f>aggregated_data!C22</f>
        <v>422</v>
      </c>
      <c r="D5">
        <f>aggregated_data!C39</f>
        <v>833</v>
      </c>
      <c r="E5">
        <f>aggregated_data!C56</f>
        <v>4864</v>
      </c>
      <c r="F5">
        <f>aggregated_data!C73</f>
        <v>13350</v>
      </c>
      <c r="G5">
        <f>aggregated_data!C90</f>
        <v>32201</v>
      </c>
    </row>
    <row r="6" spans="1:7" x14ac:dyDescent="0.25">
      <c r="A6" t="s">
        <v>17</v>
      </c>
      <c r="B6">
        <f>aggregated_data!C6</f>
        <v>90</v>
      </c>
      <c r="C6">
        <f>aggregated_data!C23</f>
        <v>474</v>
      </c>
      <c r="D6">
        <f>aggregated_data!C40</f>
        <v>840</v>
      </c>
      <c r="E6">
        <f>aggregated_data!C57</f>
        <v>4521</v>
      </c>
      <c r="F6">
        <f>aggregated_data!C74</f>
        <v>12808</v>
      </c>
      <c r="G6">
        <f>aggregated_data!C91</f>
        <v>30899</v>
      </c>
    </row>
    <row r="7" spans="1:7" x14ac:dyDescent="0.25">
      <c r="A7" t="s">
        <v>18</v>
      </c>
      <c r="B7">
        <f>aggregated_data!C7</f>
        <v>103</v>
      </c>
      <c r="C7">
        <f>aggregated_data!C24</f>
        <v>232</v>
      </c>
      <c r="D7">
        <f>aggregated_data!C41</f>
        <v>616</v>
      </c>
      <c r="E7">
        <f>aggregated_data!C58</f>
        <v>4880</v>
      </c>
      <c r="F7">
        <f>aggregated_data!C75</f>
        <v>13867</v>
      </c>
      <c r="G7">
        <f>aggregated_data!C92</f>
        <v>32343</v>
      </c>
    </row>
    <row r="8" spans="1:7" x14ac:dyDescent="0.25">
      <c r="A8" t="s">
        <v>19</v>
      </c>
      <c r="B8">
        <f>aggregated_data!C8</f>
        <v>177</v>
      </c>
      <c r="C8">
        <f>aggregated_data!C25</f>
        <v>100</v>
      </c>
      <c r="D8">
        <f>aggregated_data!C42</f>
        <v>144</v>
      </c>
      <c r="E8">
        <f>aggregated_data!C59</f>
        <v>545</v>
      </c>
      <c r="F8">
        <f>aggregated_data!C76</f>
        <v>1658</v>
      </c>
      <c r="G8">
        <f>aggregated_data!C93</f>
        <v>3950</v>
      </c>
    </row>
    <row r="9" spans="1:7" x14ac:dyDescent="0.25">
      <c r="A9" t="s">
        <v>20</v>
      </c>
      <c r="B9">
        <f>aggregated_data!C9</f>
        <v>72</v>
      </c>
      <c r="C9">
        <f>aggregated_data!C26</f>
        <v>124</v>
      </c>
      <c r="D9">
        <f>aggregated_data!C43</f>
        <v>223</v>
      </c>
      <c r="E9">
        <f>aggregated_data!C60</f>
        <v>718</v>
      </c>
      <c r="F9">
        <f>aggregated_data!C77</f>
        <v>3115</v>
      </c>
      <c r="G9">
        <f>aggregated_data!C94</f>
        <v>7183</v>
      </c>
    </row>
    <row r="10" spans="1:7" x14ac:dyDescent="0.25">
      <c r="A10" t="s">
        <v>21</v>
      </c>
      <c r="B10">
        <f>aggregated_data!C10</f>
        <v>54</v>
      </c>
      <c r="C10">
        <f>aggregated_data!C27</f>
        <v>220</v>
      </c>
      <c r="D10">
        <f>aggregated_data!C44</f>
        <v>482</v>
      </c>
      <c r="E10">
        <f>aggregated_data!C61</f>
        <v>127</v>
      </c>
      <c r="F10">
        <f>aggregated_data!C78</f>
        <v>7172</v>
      </c>
      <c r="G10">
        <f>aggregated_data!C95</f>
        <v>17018</v>
      </c>
    </row>
    <row r="11" spans="1:7" x14ac:dyDescent="0.25">
      <c r="A11" t="s">
        <v>22</v>
      </c>
      <c r="B11">
        <f>aggregated_data!C11</f>
        <v>112</v>
      </c>
      <c r="C11">
        <f>aggregated_data!C28</f>
        <v>86</v>
      </c>
      <c r="D11">
        <f>aggregated_data!C45</f>
        <v>150</v>
      </c>
      <c r="E11">
        <f>aggregated_data!C62</f>
        <v>1339</v>
      </c>
      <c r="F11">
        <f>aggregated_data!C79</f>
        <v>2653</v>
      </c>
      <c r="G11">
        <f>aggregated_data!C96</f>
        <v>6305</v>
      </c>
    </row>
    <row r="12" spans="1:7" x14ac:dyDescent="0.25">
      <c r="A12" t="s">
        <v>23</v>
      </c>
      <c r="B12">
        <f>aggregated_data!C12</f>
        <v>95</v>
      </c>
      <c r="C12">
        <f>aggregated_data!C29</f>
        <v>61</v>
      </c>
      <c r="D12">
        <f>aggregated_data!C46</f>
        <v>71</v>
      </c>
      <c r="E12">
        <f>aggregated_data!C63</f>
        <v>235</v>
      </c>
      <c r="F12">
        <f>aggregated_data!C80</f>
        <v>286</v>
      </c>
      <c r="G12">
        <f>aggregated_data!C97</f>
        <v>868</v>
      </c>
    </row>
    <row r="13" spans="1:7" x14ac:dyDescent="0.25">
      <c r="A13" t="s">
        <v>24</v>
      </c>
      <c r="B13">
        <f>aggregated_data!C13</f>
        <v>258</v>
      </c>
      <c r="C13">
        <f>aggregated_data!C30</f>
        <v>115</v>
      </c>
      <c r="D13">
        <f>aggregated_data!C47</f>
        <v>148</v>
      </c>
      <c r="E13">
        <f>aggregated_data!C64</f>
        <v>2910</v>
      </c>
      <c r="F13">
        <f>aggregated_data!C81</f>
        <v>478</v>
      </c>
      <c r="G13">
        <f>aggregated_data!C98</f>
        <v>1252</v>
      </c>
    </row>
    <row r="14" spans="1:7" x14ac:dyDescent="0.25">
      <c r="A14" t="s">
        <v>25</v>
      </c>
      <c r="B14">
        <f>aggregated_data!C14</f>
        <v>79</v>
      </c>
      <c r="C14">
        <f>aggregated_data!C31</f>
        <v>83</v>
      </c>
      <c r="D14">
        <f>aggregated_data!C48</f>
        <v>163</v>
      </c>
      <c r="E14">
        <f>aggregated_data!C65</f>
        <v>565</v>
      </c>
      <c r="F14">
        <f>aggregated_data!C82</f>
        <v>509</v>
      </c>
      <c r="G14">
        <f>aggregated_data!C99</f>
        <v>591</v>
      </c>
    </row>
    <row r="15" spans="1:7" x14ac:dyDescent="0.25">
      <c r="A15" t="s">
        <v>26</v>
      </c>
      <c r="B15">
        <f>aggregated_data!C15</f>
        <v>73</v>
      </c>
      <c r="C15">
        <f>aggregated_data!C32</f>
        <v>69</v>
      </c>
      <c r="D15">
        <f>aggregated_data!C49</f>
        <v>97</v>
      </c>
      <c r="E15">
        <f>aggregated_data!C66</f>
        <v>111</v>
      </c>
      <c r="F15">
        <f>aggregated_data!C83</f>
        <v>318</v>
      </c>
      <c r="G15">
        <f>aggregated_data!C100</f>
        <v>267</v>
      </c>
    </row>
    <row r="16" spans="1:7" x14ac:dyDescent="0.25">
      <c r="A16" t="s">
        <v>27</v>
      </c>
      <c r="B16">
        <f>aggregated_data!C16</f>
        <v>60</v>
      </c>
      <c r="C16">
        <f>aggregated_data!C33</f>
        <v>59</v>
      </c>
      <c r="D16">
        <f>aggregated_data!C50</f>
        <v>75</v>
      </c>
      <c r="E16">
        <f>aggregated_data!C67</f>
        <v>78</v>
      </c>
      <c r="F16">
        <f>aggregated_data!C84</f>
        <v>199</v>
      </c>
      <c r="G16">
        <f>aggregated_data!C101</f>
        <v>283</v>
      </c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sqref="A1:S31"/>
    </sheetView>
  </sheetViews>
  <sheetFormatPr defaultRowHeight="15" x14ac:dyDescent="0.25"/>
  <cols>
    <col min="1" max="1" width="52.7109375" customWidth="1"/>
  </cols>
  <sheetData>
    <row r="1" spans="1:7" ht="18.75" x14ac:dyDescent="0.3">
      <c r="A1" s="3" t="s">
        <v>31</v>
      </c>
      <c r="B1" s="4">
        <v>1</v>
      </c>
      <c r="C1" s="4">
        <v>10</v>
      </c>
      <c r="D1" s="4">
        <v>30</v>
      </c>
      <c r="E1" s="4">
        <v>50</v>
      </c>
      <c r="F1" s="4">
        <v>100</v>
      </c>
      <c r="G1" s="4">
        <v>200</v>
      </c>
    </row>
    <row r="2" spans="1:7" x14ac:dyDescent="0.25">
      <c r="A2" t="s">
        <v>13</v>
      </c>
      <c r="B2">
        <f>aggregated_data!F2</f>
        <v>1378</v>
      </c>
      <c r="C2">
        <f>aggregated_data!F19</f>
        <v>1444</v>
      </c>
      <c r="D2">
        <f>aggregated_data!F36</f>
        <v>2704</v>
      </c>
      <c r="E2">
        <f>aggregated_data!F53</f>
        <v>13914</v>
      </c>
      <c r="F2">
        <f>aggregated_data!F70</f>
        <v>42382</v>
      </c>
      <c r="G2">
        <f>aggregated_data!F87</f>
        <v>99199</v>
      </c>
    </row>
    <row r="3" spans="1:7" x14ac:dyDescent="0.25">
      <c r="A3" t="s">
        <v>14</v>
      </c>
      <c r="B3">
        <f>aggregated_data!F3</f>
        <v>544</v>
      </c>
      <c r="C3">
        <f>aggregated_data!F20</f>
        <v>136</v>
      </c>
      <c r="D3">
        <f>aggregated_data!F37</f>
        <v>937</v>
      </c>
      <c r="E3">
        <f>aggregated_data!F54</f>
        <v>6458</v>
      </c>
      <c r="F3">
        <f>aggregated_data!F71</f>
        <v>17183</v>
      </c>
      <c r="G3">
        <f>aggregated_data!F88</f>
        <v>37765</v>
      </c>
    </row>
    <row r="4" spans="1:7" x14ac:dyDescent="0.25">
      <c r="A4" t="s">
        <v>15</v>
      </c>
      <c r="B4">
        <f>aggregated_data!F4</f>
        <v>621</v>
      </c>
      <c r="C4">
        <f>aggregated_data!F21</f>
        <v>330</v>
      </c>
      <c r="D4">
        <f>aggregated_data!F38</f>
        <v>989</v>
      </c>
      <c r="E4">
        <f>aggregated_data!F55</f>
        <v>4865</v>
      </c>
      <c r="F4">
        <f>aggregated_data!F72</f>
        <v>9552</v>
      </c>
      <c r="G4">
        <f>aggregated_data!F89</f>
        <v>31014</v>
      </c>
    </row>
    <row r="5" spans="1:7" x14ac:dyDescent="0.25">
      <c r="A5" t="s">
        <v>16</v>
      </c>
      <c r="B5">
        <f>aggregated_data!F5</f>
        <v>249</v>
      </c>
      <c r="C5">
        <f>aggregated_data!F22</f>
        <v>795</v>
      </c>
      <c r="D5">
        <f>aggregated_data!F39</f>
        <v>1915</v>
      </c>
      <c r="E5">
        <f>aggregated_data!F56</f>
        <v>9946</v>
      </c>
      <c r="F5">
        <f>aggregated_data!F73</f>
        <v>31728</v>
      </c>
      <c r="G5">
        <f>aggregated_data!F90</f>
        <v>72304</v>
      </c>
    </row>
    <row r="6" spans="1:7" x14ac:dyDescent="0.25">
      <c r="A6" t="s">
        <v>17</v>
      </c>
      <c r="B6">
        <f>aggregated_data!F6</f>
        <v>153</v>
      </c>
      <c r="C6">
        <f>aggregated_data!F23</f>
        <v>882</v>
      </c>
      <c r="D6">
        <f>aggregated_data!F40</f>
        <v>1845</v>
      </c>
      <c r="E6">
        <f>aggregated_data!F57</f>
        <v>9682</v>
      </c>
      <c r="F6">
        <f>aggregated_data!F74</f>
        <v>31942</v>
      </c>
      <c r="G6">
        <f>aggregated_data!F91</f>
        <v>73774</v>
      </c>
    </row>
    <row r="7" spans="1:7" x14ac:dyDescent="0.25">
      <c r="A7" t="s">
        <v>18</v>
      </c>
      <c r="B7">
        <f>aggregated_data!F7</f>
        <v>142</v>
      </c>
      <c r="C7">
        <f>aggregated_data!F24</f>
        <v>338</v>
      </c>
      <c r="D7">
        <f>aggregated_data!F41</f>
        <v>1471</v>
      </c>
      <c r="E7">
        <f>aggregated_data!F58</f>
        <v>8946</v>
      </c>
      <c r="F7">
        <f>aggregated_data!F75</f>
        <v>28992</v>
      </c>
      <c r="G7">
        <f>aggregated_data!F92</f>
        <v>67269</v>
      </c>
    </row>
    <row r="8" spans="1:7" x14ac:dyDescent="0.25">
      <c r="A8" t="s">
        <v>19</v>
      </c>
      <c r="B8">
        <f>aggregated_data!F8</f>
        <v>219</v>
      </c>
      <c r="C8">
        <f>aggregated_data!F25</f>
        <v>165</v>
      </c>
      <c r="D8">
        <f>aggregated_data!F42</f>
        <v>419</v>
      </c>
      <c r="E8">
        <f>aggregated_data!F59</f>
        <v>3121</v>
      </c>
      <c r="F8">
        <f>aggregated_data!F76</f>
        <v>8160</v>
      </c>
      <c r="G8">
        <f>aggregated_data!F93</f>
        <v>17779</v>
      </c>
    </row>
    <row r="9" spans="1:7" x14ac:dyDescent="0.25">
      <c r="A9" t="s">
        <v>20</v>
      </c>
      <c r="B9">
        <f>aggregated_data!F9</f>
        <v>84</v>
      </c>
      <c r="C9">
        <f>aggregated_data!F26</f>
        <v>199</v>
      </c>
      <c r="D9">
        <f>aggregated_data!F43</f>
        <v>681</v>
      </c>
      <c r="E9">
        <f>aggregated_data!F60</f>
        <v>3668</v>
      </c>
      <c r="F9">
        <f>aggregated_data!F77</f>
        <v>8799</v>
      </c>
      <c r="G9">
        <f>aggregated_data!F94</f>
        <v>19697</v>
      </c>
    </row>
    <row r="10" spans="1:7" x14ac:dyDescent="0.25">
      <c r="A10" t="s">
        <v>21</v>
      </c>
      <c r="B10">
        <f>aggregated_data!F10</f>
        <v>60</v>
      </c>
      <c r="C10">
        <f>aggregated_data!F27</f>
        <v>306</v>
      </c>
      <c r="D10">
        <f>aggregated_data!F44</f>
        <v>1139</v>
      </c>
      <c r="E10">
        <f>aggregated_data!F61</f>
        <v>88</v>
      </c>
      <c r="F10">
        <f>aggregated_data!F78</f>
        <v>18005</v>
      </c>
      <c r="G10">
        <f>aggregated_data!F95</f>
        <v>42523</v>
      </c>
    </row>
    <row r="11" spans="1:7" x14ac:dyDescent="0.25">
      <c r="A11" t="s">
        <v>22</v>
      </c>
      <c r="B11">
        <f>aggregated_data!F11</f>
        <v>145</v>
      </c>
      <c r="C11">
        <f>aggregated_data!F28</f>
        <v>112</v>
      </c>
      <c r="D11">
        <f>aggregated_data!F45</f>
        <v>535</v>
      </c>
      <c r="E11">
        <f>aggregated_data!F62</f>
        <v>4042</v>
      </c>
      <c r="F11">
        <f>aggregated_data!F79</f>
        <v>8659</v>
      </c>
      <c r="G11">
        <f>aggregated_data!F96</f>
        <v>18687</v>
      </c>
    </row>
    <row r="12" spans="1:7" x14ac:dyDescent="0.25">
      <c r="A12" t="s">
        <v>23</v>
      </c>
      <c r="B12">
        <f>aggregated_data!F12</f>
        <v>146</v>
      </c>
      <c r="C12">
        <f>aggregated_data!F29</f>
        <v>77</v>
      </c>
      <c r="D12">
        <f>aggregated_data!F46</f>
        <v>94</v>
      </c>
      <c r="E12">
        <f>aggregated_data!F63</f>
        <v>194</v>
      </c>
      <c r="F12">
        <f>aggregated_data!F80</f>
        <v>99</v>
      </c>
      <c r="G12">
        <f>aggregated_data!F97</f>
        <v>102</v>
      </c>
    </row>
    <row r="13" spans="1:7" x14ac:dyDescent="0.25">
      <c r="A13" t="s">
        <v>24</v>
      </c>
      <c r="B13">
        <f>aggregated_data!F13</f>
        <v>254</v>
      </c>
      <c r="C13">
        <f>aggregated_data!F30</f>
        <v>155</v>
      </c>
      <c r="D13">
        <f>aggregated_data!F47</f>
        <v>303</v>
      </c>
      <c r="E13">
        <f>aggregated_data!F64</f>
        <v>6413</v>
      </c>
      <c r="F13">
        <f>aggregated_data!F81</f>
        <v>359</v>
      </c>
      <c r="G13">
        <f>aggregated_data!F98</f>
        <v>1062</v>
      </c>
    </row>
    <row r="14" spans="1:7" x14ac:dyDescent="0.25">
      <c r="A14" t="s">
        <v>25</v>
      </c>
      <c r="B14">
        <f>aggregated_data!F14</f>
        <v>89</v>
      </c>
      <c r="C14">
        <f>aggregated_data!F31</f>
        <v>108</v>
      </c>
      <c r="D14">
        <f>aggregated_data!F48</f>
        <v>531</v>
      </c>
      <c r="E14">
        <f>aggregated_data!F65</f>
        <v>3770</v>
      </c>
      <c r="F14">
        <f>aggregated_data!F82</f>
        <v>945</v>
      </c>
      <c r="G14">
        <f>aggregated_data!F99</f>
        <v>831</v>
      </c>
    </row>
    <row r="15" spans="1:7" x14ac:dyDescent="0.25">
      <c r="A15" t="s">
        <v>26</v>
      </c>
      <c r="B15">
        <f>aggregated_data!F15</f>
        <v>93</v>
      </c>
      <c r="C15">
        <f>aggregated_data!F32</f>
        <v>97</v>
      </c>
      <c r="D15">
        <f>aggregated_data!F49</f>
        <v>149</v>
      </c>
      <c r="E15">
        <f>aggregated_data!F66</f>
        <v>103</v>
      </c>
      <c r="F15">
        <f>aggregated_data!F83</f>
        <v>132</v>
      </c>
      <c r="G15">
        <f>aggregated_data!F100</f>
        <v>106</v>
      </c>
    </row>
    <row r="16" spans="1:7" x14ac:dyDescent="0.25">
      <c r="A16" t="s">
        <v>27</v>
      </c>
      <c r="B16">
        <f>aggregated_data!F16</f>
        <v>65</v>
      </c>
      <c r="C16">
        <f>aggregated_data!F33</f>
        <v>70</v>
      </c>
      <c r="D16">
        <f>aggregated_data!F50</f>
        <v>99</v>
      </c>
      <c r="E16">
        <f>aggregated_data!F67</f>
        <v>83</v>
      </c>
      <c r="F16">
        <f>aggregated_data!F84</f>
        <v>84</v>
      </c>
      <c r="G16">
        <f>aggregated_data!F101</f>
        <v>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opLeftCell="A37" workbookViewId="0">
      <selection activeCell="G2" sqref="G2:G16"/>
    </sheetView>
  </sheetViews>
  <sheetFormatPr defaultRowHeight="15" x14ac:dyDescent="0.25"/>
  <cols>
    <col min="1" max="1" width="26.5703125" customWidth="1"/>
  </cols>
  <sheetData>
    <row r="1" spans="1:7" ht="18.75" x14ac:dyDescent="0.3">
      <c r="A1" s="3" t="s">
        <v>10</v>
      </c>
      <c r="B1" s="4">
        <v>1</v>
      </c>
      <c r="C1" s="4">
        <v>10</v>
      </c>
      <c r="D1" s="4">
        <v>30</v>
      </c>
      <c r="E1" s="4">
        <v>50</v>
      </c>
      <c r="F1" s="4">
        <v>100</v>
      </c>
      <c r="G1" s="4">
        <v>200</v>
      </c>
    </row>
    <row r="2" spans="1:7" x14ac:dyDescent="0.25">
      <c r="A2" t="s">
        <v>13</v>
      </c>
      <c r="B2">
        <f>aggregated_data!K2</f>
        <v>0.10122</v>
      </c>
      <c r="C2">
        <f>aggregated_data!K19</f>
        <v>0.98111000000000004</v>
      </c>
      <c r="D2">
        <f>aggregated_data!K36</f>
        <v>2.1576200000000001</v>
      </c>
      <c r="E2">
        <f>aggregated_data!K53</f>
        <v>1.5089300000000001</v>
      </c>
      <c r="F2">
        <f>aggregated_data!K70</f>
        <v>1.1667400000000001</v>
      </c>
      <c r="G2">
        <f>aggregated_data!K87</f>
        <v>1.06104</v>
      </c>
    </row>
    <row r="3" spans="1:7" x14ac:dyDescent="0.25">
      <c r="A3" t="s">
        <v>14</v>
      </c>
      <c r="B3">
        <f>aggregated_data!K3</f>
        <v>7.2120000000000004E-2</v>
      </c>
      <c r="C3">
        <f>aggregated_data!K20</f>
        <v>0.30481000000000003</v>
      </c>
      <c r="D3">
        <f>aggregated_data!K37</f>
        <v>0.68072999999999995</v>
      </c>
      <c r="E3">
        <f>aggregated_data!K54</f>
        <v>0.50836999999999999</v>
      </c>
      <c r="F3">
        <f>aggregated_data!K71</f>
        <v>0.39456999999999998</v>
      </c>
      <c r="G3">
        <f>aggregated_data!K88</f>
        <v>0.35901</v>
      </c>
    </row>
    <row r="4" spans="1:7" x14ac:dyDescent="0.25">
      <c r="A4" t="s">
        <v>15</v>
      </c>
      <c r="B4">
        <f>aggregated_data!K4</f>
        <v>7.2109999999999994E-2</v>
      </c>
      <c r="C4">
        <f>aggregated_data!K21</f>
        <v>0.30486000000000002</v>
      </c>
      <c r="D4">
        <f>aggregated_data!K38</f>
        <v>0.68071000000000004</v>
      </c>
      <c r="E4">
        <f>aggregated_data!K55</f>
        <v>0.50824999999999998</v>
      </c>
      <c r="F4">
        <f>aggregated_data!K72</f>
        <v>0.39357999999999999</v>
      </c>
      <c r="G4">
        <f>aggregated_data!K89</f>
        <v>0.35629</v>
      </c>
    </row>
    <row r="5" spans="1:7" x14ac:dyDescent="0.25">
      <c r="A5" t="s">
        <v>16</v>
      </c>
      <c r="B5">
        <f>aggregated_data!K5</f>
        <v>7.2190000000000004E-2</v>
      </c>
      <c r="C5">
        <f>aggregated_data!K22</f>
        <v>0.70862999999999998</v>
      </c>
      <c r="D5">
        <f>aggregated_data!K39</f>
        <v>1.55796</v>
      </c>
      <c r="E5">
        <f>aggregated_data!K56</f>
        <v>1.08833</v>
      </c>
      <c r="F5">
        <f>aggregated_data!K73</f>
        <v>0.83343999999999996</v>
      </c>
      <c r="G5">
        <f>aggregated_data!K90</f>
        <v>0.74765000000000004</v>
      </c>
    </row>
    <row r="6" spans="1:7" x14ac:dyDescent="0.25">
      <c r="A6" t="s">
        <v>17</v>
      </c>
      <c r="B6">
        <f>aggregated_data!K6</f>
        <v>9.1230000000000006E-2</v>
      </c>
      <c r="C6">
        <f>aggregated_data!K23</f>
        <v>0.70887</v>
      </c>
      <c r="D6">
        <f>aggregated_data!K40</f>
        <v>1.5584800000000001</v>
      </c>
      <c r="E6">
        <f>aggregated_data!K57</f>
        <v>1.08731</v>
      </c>
      <c r="F6">
        <f>aggregated_data!K74</f>
        <v>0.82967999999999997</v>
      </c>
      <c r="G6">
        <f>aggregated_data!K91</f>
        <v>0.73685</v>
      </c>
    </row>
    <row r="7" spans="1:7" x14ac:dyDescent="0.25">
      <c r="A7" t="s">
        <v>18</v>
      </c>
      <c r="B7">
        <f>aggregated_data!K7</f>
        <v>3.0429999999999999E-2</v>
      </c>
      <c r="C7">
        <f>aggregated_data!K24</f>
        <v>0.70884999999999998</v>
      </c>
      <c r="D7">
        <f>aggregated_data!K41</f>
        <v>1.55833</v>
      </c>
      <c r="E7">
        <f>aggregated_data!K58</f>
        <v>1.0872299999999999</v>
      </c>
      <c r="F7">
        <f>aggregated_data!K75</f>
        <v>0.82599</v>
      </c>
      <c r="G7">
        <f>aggregated_data!K92</f>
        <v>0.73316000000000003</v>
      </c>
    </row>
    <row r="8" spans="1:7" x14ac:dyDescent="0.25">
      <c r="A8" t="s">
        <v>19</v>
      </c>
      <c r="B8">
        <f>aggregated_data!K8</f>
        <v>3.0419999999999999E-2</v>
      </c>
      <c r="C8">
        <f>aggregated_data!K25</f>
        <v>0.88349999999999995</v>
      </c>
      <c r="D8">
        <f>aggregated_data!K42</f>
        <v>1.9439299999999999</v>
      </c>
      <c r="E8">
        <f>aggregated_data!K59</f>
        <v>1.3525</v>
      </c>
      <c r="F8">
        <f>aggregated_data!K76</f>
        <v>1.0317499999999999</v>
      </c>
      <c r="G8">
        <f>aggregated_data!K93</f>
        <v>0.91608999999999996</v>
      </c>
    </row>
    <row r="9" spans="1:7" x14ac:dyDescent="0.25">
      <c r="A9" t="s">
        <v>20</v>
      </c>
      <c r="B9">
        <f>aggregated_data!K9</f>
        <v>2.368E-2</v>
      </c>
      <c r="C9">
        <f>aggregated_data!K26</f>
        <v>0.29475000000000001</v>
      </c>
      <c r="D9">
        <f>aggregated_data!K43</f>
        <v>0.64798</v>
      </c>
      <c r="E9">
        <f>aggregated_data!K60</f>
        <v>0.33537</v>
      </c>
      <c r="F9">
        <f>aggregated_data!K77</f>
        <v>0.34426000000000001</v>
      </c>
      <c r="G9">
        <f>aggregated_data!K94</f>
        <v>0.30507000000000001</v>
      </c>
    </row>
    <row r="10" spans="1:7" x14ac:dyDescent="0.25">
      <c r="A10" t="s">
        <v>21</v>
      </c>
      <c r="B10">
        <f>aggregated_data!K10</f>
        <v>2.368E-2</v>
      </c>
      <c r="C10">
        <f>aggregated_data!K27</f>
        <v>0.29468</v>
      </c>
      <c r="D10">
        <f>aggregated_data!K44</f>
        <v>0.64802999999999999</v>
      </c>
      <c r="E10">
        <f>aggregated_data!K61</f>
        <v>0.33538000000000001</v>
      </c>
      <c r="F10">
        <f>aggregated_data!K78</f>
        <v>0.34256999999999999</v>
      </c>
      <c r="G10">
        <f>aggregated_data!K95</f>
        <v>0.30415999999999999</v>
      </c>
    </row>
    <row r="11" spans="1:7" x14ac:dyDescent="0.25">
      <c r="A11" t="s">
        <v>22</v>
      </c>
      <c r="B11">
        <f>aggregated_data!K11</f>
        <v>2.631E-2</v>
      </c>
      <c r="C11">
        <f>aggregated_data!K28</f>
        <v>0.21804000000000001</v>
      </c>
      <c r="D11">
        <f>aggregated_data!K45</f>
        <v>0.48150999999999999</v>
      </c>
      <c r="E11">
        <f>aggregated_data!K62</f>
        <v>0.45106000000000002</v>
      </c>
      <c r="F11">
        <f>aggregated_data!K79</f>
        <v>0.25594</v>
      </c>
      <c r="G11">
        <f>aggregated_data!K96</f>
        <v>0.22416</v>
      </c>
    </row>
    <row r="12" spans="1:7" x14ac:dyDescent="0.25">
      <c r="A12" t="s">
        <v>23</v>
      </c>
      <c r="B12">
        <f>aggregated_data!K12</f>
        <v>8.1449999999999995E-2</v>
      </c>
      <c r="C12">
        <f>aggregated_data!K29</f>
        <v>0.21804000000000001</v>
      </c>
      <c r="D12">
        <f>aggregated_data!K46</f>
        <v>0.48150999999999999</v>
      </c>
      <c r="E12">
        <f>aggregated_data!K63</f>
        <v>0.37062</v>
      </c>
      <c r="F12">
        <f>aggregated_data!K80</f>
        <v>0.25594</v>
      </c>
      <c r="G12">
        <f>aggregated_data!K97</f>
        <v>0.22500000000000001</v>
      </c>
    </row>
    <row r="13" spans="1:7" x14ac:dyDescent="0.25">
      <c r="A13" t="s">
        <v>24</v>
      </c>
      <c r="B13">
        <f>aggregated_data!K13</f>
        <v>8.1379999999999994E-2</v>
      </c>
      <c r="C13">
        <f>aggregated_data!K30</f>
        <v>0.23929</v>
      </c>
      <c r="D13">
        <f>aggregated_data!K47</f>
        <v>0.52927000000000002</v>
      </c>
      <c r="E13">
        <f>aggregated_data!K64</f>
        <v>0.45058999999999999</v>
      </c>
      <c r="F13">
        <f>aggregated_data!K81</f>
        <v>0.28308</v>
      </c>
      <c r="G13">
        <f>aggregated_data!K98</f>
        <v>0.24879000000000001</v>
      </c>
    </row>
    <row r="14" spans="1:7" x14ac:dyDescent="0.25">
      <c r="A14" t="s">
        <v>25</v>
      </c>
      <c r="B14">
        <f>aggregated_data!K14</f>
        <v>7.9900000000000006E-3</v>
      </c>
      <c r="C14">
        <f>aggregated_data!K31</f>
        <v>2.196E-2</v>
      </c>
      <c r="D14">
        <f>aggregated_data!K48</f>
        <v>4.87E-2</v>
      </c>
      <c r="E14">
        <f>aggregated_data!K65</f>
        <v>3.601E-2</v>
      </c>
      <c r="F14">
        <f>aggregated_data!K82</f>
        <v>2.768E-2</v>
      </c>
      <c r="G14">
        <f>aggregated_data!K99</f>
        <v>2.4160000000000001E-2</v>
      </c>
    </row>
    <row r="15" spans="1:7" x14ac:dyDescent="0.25">
      <c r="A15" t="s">
        <v>26</v>
      </c>
      <c r="B15">
        <f>aggregated_data!K15</f>
        <v>8.0000000000000002E-3</v>
      </c>
      <c r="C15">
        <f>aggregated_data!K32</f>
        <v>2.196E-2</v>
      </c>
      <c r="D15">
        <f>aggregated_data!K49</f>
        <v>4.87E-2</v>
      </c>
      <c r="E15">
        <f>aggregated_data!K66</f>
        <v>3.6020000000000003E-2</v>
      </c>
      <c r="F15">
        <f>aggregated_data!K83</f>
        <v>2.768E-2</v>
      </c>
      <c r="G15">
        <f>aggregated_data!K100</f>
        <v>2.4160000000000001E-2</v>
      </c>
    </row>
    <row r="16" spans="1:7" x14ac:dyDescent="0.25">
      <c r="A16" t="s">
        <v>27</v>
      </c>
      <c r="B16">
        <f>aggregated_data!K16</f>
        <v>8.0000000000000002E-3</v>
      </c>
      <c r="C16">
        <f>aggregated_data!K33</f>
        <v>2.196E-2</v>
      </c>
      <c r="D16">
        <f>aggregated_data!K50</f>
        <v>4.87E-2</v>
      </c>
      <c r="E16">
        <f>aggregated_data!K67</f>
        <v>3.6020000000000003E-2</v>
      </c>
      <c r="F16">
        <f>aggregated_data!K84</f>
        <v>2.768E-2</v>
      </c>
      <c r="G16">
        <f>aggregated_data!K101</f>
        <v>2.4160000000000001E-2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aggregated_data</vt:lpstr>
      <vt:lpstr>average_response_time</vt:lpstr>
      <vt:lpstr>95_percentile</vt:lpstr>
      <vt:lpstr>throughput</vt:lpstr>
      <vt:lpstr>aggregated_charts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</dc:creator>
  <cp:lastModifiedBy>Hori</cp:lastModifiedBy>
  <dcterms:created xsi:type="dcterms:W3CDTF">2026-08-28T11:15:40Z</dcterms:created>
  <dcterms:modified xsi:type="dcterms:W3CDTF">2026-08-30T20:04:21Z</dcterms:modified>
</cp:coreProperties>
</file>