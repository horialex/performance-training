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ri\Desktop\performance\teme\"/>
    </mc:Choice>
  </mc:AlternateContent>
  <bookViews>
    <workbookView xWindow="0" yWindow="0" windowWidth="25755" windowHeight="5220" activeTab="1"/>
  </bookViews>
  <sheets>
    <sheet name="last run" sheetId="9" r:id="rId1"/>
    <sheet name="ResponseTime" sheetId="2" r:id="rId2"/>
    <sheet name="Other runs" sheetId="7" r:id="rId3"/>
    <sheet name="Throughput" sheetId="3" r:id="rId4"/>
    <sheet name="Labels and links" sheetId="4" r:id="rId5"/>
    <sheet name="8 dec" sheetId="1" r:id="rId6"/>
    <sheet name="9 dec" sheetId="5" r:id="rId7"/>
    <sheet name="10 dec" sheetId="6" r:id="rId8"/>
    <sheet name="11 dec" sheetId="8" r:id="rId9"/>
  </sheets>
  <definedNames>
    <definedName name="_xlnm._FilterDatabase" localSheetId="0" hidden="1">'last run'!$A$11:$J$32</definedName>
  </definedNames>
  <calcPr calcId="152511"/>
</workbook>
</file>

<file path=xl/calcChain.xml><?xml version="1.0" encoding="utf-8"?>
<calcChain xmlns="http://schemas.openxmlformats.org/spreadsheetml/2006/main">
  <c r="B2" i="2" l="1"/>
  <c r="E2" i="2" l="1"/>
  <c r="E3" i="2"/>
  <c r="E4" i="2"/>
  <c r="E5" i="2"/>
  <c r="E6" i="2"/>
  <c r="E7" i="2"/>
  <c r="E8" i="2"/>
  <c r="E9" i="2"/>
  <c r="E10" i="2"/>
  <c r="E11" i="2"/>
  <c r="D2" i="2"/>
  <c r="D3" i="2"/>
  <c r="D4" i="2"/>
  <c r="D5" i="2"/>
  <c r="D6" i="2"/>
  <c r="D7" i="2"/>
  <c r="D8" i="2"/>
  <c r="D9" i="2"/>
  <c r="D10" i="2"/>
  <c r="D11" i="2"/>
  <c r="C4" i="2"/>
  <c r="C2" i="2" l="1"/>
  <c r="C3" i="2"/>
  <c r="C5" i="2"/>
  <c r="C6" i="2"/>
  <c r="C7" i="2"/>
  <c r="C8" i="2"/>
  <c r="C9" i="2"/>
  <c r="C10" i="2"/>
  <c r="C11" i="2"/>
  <c r="B3" i="2"/>
  <c r="B4" i="2"/>
  <c r="B5" i="2"/>
  <c r="B6" i="2"/>
  <c r="B7" i="2"/>
  <c r="B8" i="2"/>
  <c r="B9" i="2"/>
  <c r="B10" i="2"/>
  <c r="B11" i="2"/>
  <c r="C20" i="7" l="1"/>
  <c r="C21" i="7" s="1"/>
  <c r="B20" i="7"/>
</calcChain>
</file>

<file path=xl/sharedStrings.xml><?xml version="1.0" encoding="utf-8"?>
<sst xmlns="http://schemas.openxmlformats.org/spreadsheetml/2006/main" count="513" uniqueCount="120">
  <si>
    <t>Sample Label</t>
  </si>
  <si>
    <t>Samples</t>
  </si>
  <si>
    <t>Average response time (ms)</t>
  </si>
  <si>
    <t>Min(ms)</t>
  </si>
  <si>
    <t>Max(ms)</t>
  </si>
  <si>
    <t>Std. Dev</t>
  </si>
  <si>
    <t>Error</t>
  </si>
  <si>
    <t>Throughput</t>
  </si>
  <si>
    <t>Kb/sec</t>
  </si>
  <si>
    <t>Avg. Bytes</t>
  </si>
  <si>
    <t>[GET] Home page</t>
  </si>
  <si>
    <t>[GET] Wishlist page</t>
  </si>
  <si>
    <t>[GET] Last minute offers</t>
  </si>
  <si>
    <t>[GET] Ski page</t>
  </si>
  <si>
    <t>[GET] Promotion Page</t>
  </si>
  <si>
    <t>[GET] Destination Page</t>
  </si>
  <si>
    <t>[GET] Tours Page</t>
  </si>
  <si>
    <t>[GET] Charters Page</t>
  </si>
  <si>
    <t>[GET] Get country names</t>
  </si>
  <si>
    <t>[Transaction] Search by an available country name</t>
  </si>
  <si>
    <t>TOTAL</t>
  </si>
  <si>
    <t>[GET] Visit Destination Page</t>
  </si>
  <si>
    <t>[GET] Destination Details</t>
  </si>
  <si>
    <t>Home page</t>
  </si>
  <si>
    <t>Wishlist page</t>
  </si>
  <si>
    <t>Last minute offers</t>
  </si>
  <si>
    <t>Ski page</t>
  </si>
  <si>
    <t>Promotion Page</t>
  </si>
  <si>
    <t>Destination Page</t>
  </si>
  <si>
    <t>Tours Page</t>
  </si>
  <si>
    <t>Charters Page</t>
  </si>
  <si>
    <t>Get country names</t>
  </si>
  <si>
    <t xml:space="preserve">Search a country </t>
  </si>
  <si>
    <t>Destination Details</t>
  </si>
  <si>
    <t>Visit Destination Page</t>
  </si>
  <si>
    <t>[GET] Search a country</t>
  </si>
  <si>
    <t>/</t>
  </si>
  <si>
    <t>/wishlist</t>
  </si>
  <si>
    <t>/search/lastMinute</t>
  </si>
  <si>
    <t>/promocje</t>
  </si>
  <si>
    <t>/wycieczki-objazdowe</t>
  </si>
  <si>
    <t>/bilety-lotnicze</t>
  </si>
  <si>
    <t>/wypoczynek</t>
  </si>
  <si>
    <t>/textsearch/?text=${countryName}</t>
  </si>
  <si>
    <t>/destination-details/${countryCode}</t>
  </si>
  <si>
    <t>/${destLink}</t>
  </si>
  <si>
    <t>wwwnew.tui.pl</t>
  </si>
  <si>
    <t>Label</t>
  </si>
  <si>
    <t>URL</t>
  </si>
  <si>
    <t>[GET] Airline Tickets Page</t>
  </si>
  <si>
    <t>[GET] Search Results (destination)</t>
  </si>
  <si>
    <t>[GET] Visit Vacation Details (destination)</t>
  </si>
  <si>
    <t>[GET] Search Results (tours)</t>
  </si>
  <si>
    <t>[GET] Visit Vacation Details (tours)</t>
  </si>
  <si>
    <t>[GET] Search Results (last minute)</t>
  </si>
  <si>
    <t>[GET] Search Results (airline)</t>
  </si>
  <si>
    <t>Airline Tickets Page</t>
  </si>
  <si>
    <t>Search a country</t>
  </si>
  <si>
    <t>[GET] Visit Vacation Details (ski)</t>
  </si>
  <si>
    <t>Search Results (destination)</t>
  </si>
  <si>
    <t>Search Results (tours)</t>
  </si>
  <si>
    <t>Search Results (last minute)</t>
  </si>
  <si>
    <t>Search Results (airline)</t>
  </si>
  <si>
    <t>Vacation Details (destination)</t>
  </si>
  <si>
    <t>Vacation Details (tours)</t>
  </si>
  <si>
    <t>Vacation Details (ski)</t>
  </si>
  <si>
    <t>100 users 18:10 - 19:00 server time</t>
  </si>
  <si>
    <t>100 user 12:15 local time</t>
  </si>
  <si>
    <t>9 dec</t>
  </si>
  <si>
    <t>10 dec</t>
  </si>
  <si>
    <t>11 dec</t>
  </si>
  <si>
    <t>12 dec</t>
  </si>
  <si>
    <t>13 dec</t>
  </si>
  <si>
    <t>100 useri</t>
  </si>
  <si>
    <t>10 useri</t>
  </si>
  <si>
    <t>1 user</t>
  </si>
  <si>
    <t>300 useri 14:20 - 14:55 local time</t>
  </si>
  <si>
    <t>/narty</t>
  </si>
  <si>
    <t>/search/tour?q=${searchFilters}</t>
  </si>
  <si>
    <t>/search/lastMinute?q=${searchFilters}</t>
  </si>
  <si>
    <t>Vacation Details (last minute)</t>
  </si>
  <si>
    <t>/${resortLink}</t>
  </si>
  <si>
    <t>/chartersListPage?${searchFilters}</t>
  </si>
  <si>
    <t>Example</t>
  </si>
  <si>
    <t>/textsearch/?text=Tunezja</t>
  </si>
  <si>
    <t>/search/summer?q=%3Aprice-asc%3Aduration%3A6%3BTO%3B8%3ActAdult%3A2%3ActChild%3A0%3BTO%3BnoLimit%3AminPeople%3AnoLimit%3BTO%3B4%3AbyPlane%3AT&amp;useStartDateVariation=false</t>
  </si>
  <si>
    <t>/wypoczynek/Hiszpania/Teneryfa/hotele;show,TFS,blue-sea-lagos-de-cesar-tfs36005/transport:plane/destination:TFS/date:20141211-20141218/duration:7/ctAdult:2/departure:POZ/room:JSX1/food:H/promotion:0147/offerCode:POZTFS2014121120141218TFS36005JSX1H20147</t>
  </si>
  <si>
    <t>/search/tour?q=%3Aprice-asc%3Aduration%3A6%3BTO%3B8%3ActAdult%3A2%3ActChild%3A0%3BTO%3BnoLimit%3AminPeople%3AnoLimit%3BTO%3B4%3AbyPlane%3AT&amp;useStartDateVariation=false</t>
  </si>
  <si>
    <t>/wypoczynek/Turcja/wycieczki-objazdowe/autokarem/show,ADB,pery-antycznej-i-osmanskiej-turcji-adb11930/transport:bus/destination:ADB/date:20150818-20150825/duration:7/ctAdult:2/departure:KTW/room:DZX1/food:X/promotion:0343/offerCode:KTWADB2015081820150825ADB11930DZX1X20343</t>
  </si>
  <si>
    <t>/search/lastMinute?q=%3Aprice-asc%3Aduration%3A6%3BTO%3B8%3ActAdult%3A1%3ActChild%3A0%3BTO%3BnoLimit%3AminPeople%3AnoLimit%3BTO%3B2%3AbyPlane%3AT&amp;useStartDateVariation=false</t>
  </si>
  <si>
    <t>/narty/Austria/Górna%20Austria/Hochficht</t>
  </si>
  <si>
    <t>/chartersListPage?q=%3AdepartureDateTime-asc%3AdepartureFrom%3APOZ%3AdepartureTo%3ADLM%3AdepartureDate%3A20150511T000000%3BTO%3B20150511T235959%3AreturnDate%3A20150608T000000%3BTO%3B20150608T235959%3AfreeSeats%3A1%3BTO%3BnoLimit%3AcharterType%3ABOTH</t>
  </si>
  <si>
    <t>[GET] Search a country by name</t>
  </si>
  <si>
    <t>[GET] Destination Details for Country</t>
  </si>
  <si>
    <t>[GET] Visit Vacation Details (country)</t>
  </si>
  <si>
    <t>[POST] Search Filters (destination)</t>
  </si>
  <si>
    <t>[POST] Search Filters (tours)</t>
  </si>
  <si>
    <t>[POST] Search Filters (last minute)</t>
  </si>
  <si>
    <t>[POST] Search Filters (ski)</t>
  </si>
  <si>
    <t>[GET] Visit Vacation Details (last minute)</t>
  </si>
  <si>
    <t>[GET] Search Results (ski)</t>
  </si>
  <si>
    <t>[GET] Visit country details (ski)</t>
  </si>
  <si>
    <t>[POST] CSRFToken</t>
  </si>
  <si>
    <t>[POST] Departure airportCode</t>
  </si>
  <si>
    <t>[POST] Arrival Airport Code</t>
  </si>
  <si>
    <t>[POST] Departure Date</t>
  </si>
  <si>
    <t>[POST] Arrival Date</t>
  </si>
  <si>
    <t>100 useri 5:50 local time - 15 min</t>
  </si>
  <si>
    <t>300 useri 6:15 - 7:05 local</t>
  </si>
  <si>
    <t>Users</t>
  </si>
  <si>
    <t>[GET] Home Page</t>
  </si>
  <si>
    <t>[GET] Products Page</t>
  </si>
  <si>
    <t>[GET] Blog Page</t>
  </si>
  <si>
    <t>[GET] Contact Page</t>
  </si>
  <si>
    <t>[GET] About Page</t>
  </si>
  <si>
    <t>[GET] View Cart</t>
  </si>
  <si>
    <t>[GET] Category</t>
  </si>
  <si>
    <t>[GET] Product Details</t>
  </si>
  <si>
    <t>[POST] Add to cart</t>
  </si>
  <si>
    <t>[GET] Search &lt;bag&gt;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</si>
</sst>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20" fontId="0" fillId="0" borderId="0" xfId="0" applyNumberFormat="1"/>
    <xf numFmtId="0" fontId="0" fillId="3" borderId="0" xfId="0" applyNumberFormat="1" applyFill="1"/>
    <xf numFmtId="49" fontId="0" fillId="3" borderId="0" xfId="0" applyNumberFormat="1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ResponseTime!$A$2</c:f>
              <c:strCache>
                <c:ptCount val="1"/>
                <c:pt idx="0">
                  <c:v>[GET] Home Page</c:v>
                </c:pt>
              </c:strCache>
            </c:strRef>
          </c:tx>
          <c:marker>
            <c:symbol val="none"/>
          </c:marker>
          <c:cat>
            <c:numRef>
              <c:f>ResponseTime!$B$1:$F$1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</c:numCache>
            </c:numRef>
          </c:cat>
          <c:val>
            <c:numRef>
              <c:f>ResponseTime!$B$2:$F$2</c:f>
              <c:numCache>
                <c:formatCode>General</c:formatCode>
                <c:ptCount val="5"/>
                <c:pt idx="0">
                  <c:v>275</c:v>
                </c:pt>
                <c:pt idx="1">
                  <c:v>305</c:v>
                </c:pt>
                <c:pt idx="2">
                  <c:v>544</c:v>
                </c:pt>
                <c:pt idx="3">
                  <c:v>1693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ResponseTime!$A$3</c:f>
              <c:strCache>
                <c:ptCount val="1"/>
                <c:pt idx="0">
                  <c:v>[GET] Products Page</c:v>
                </c:pt>
              </c:strCache>
            </c:strRef>
          </c:tx>
          <c:marker>
            <c:symbol val="none"/>
          </c:marker>
          <c:cat>
            <c:numRef>
              <c:f>ResponseTime!$B$1:$F$1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</c:numCache>
            </c:numRef>
          </c:cat>
          <c:val>
            <c:numRef>
              <c:f>ResponseTime!$B$3:$F$3</c:f>
              <c:numCache>
                <c:formatCode>General</c:formatCode>
                <c:ptCount val="5"/>
                <c:pt idx="0">
                  <c:v>405</c:v>
                </c:pt>
                <c:pt idx="1">
                  <c:v>453</c:v>
                </c:pt>
                <c:pt idx="2">
                  <c:v>710</c:v>
                </c:pt>
                <c:pt idx="3">
                  <c:v>2112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ResponseTime!$A$4</c:f>
              <c:strCache>
                <c:ptCount val="1"/>
                <c:pt idx="0">
                  <c:v>[GET] Blog Page</c:v>
                </c:pt>
              </c:strCache>
            </c:strRef>
          </c:tx>
          <c:marker>
            <c:symbol val="none"/>
          </c:marker>
          <c:cat>
            <c:numRef>
              <c:f>ResponseTime!$B$1:$F$1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</c:numCache>
            </c:numRef>
          </c:cat>
          <c:val>
            <c:numRef>
              <c:f>ResponseTime!$B$4:$F$4</c:f>
              <c:numCache>
                <c:formatCode>General</c:formatCode>
                <c:ptCount val="5"/>
                <c:pt idx="0">
                  <c:v>238</c:v>
                </c:pt>
                <c:pt idx="1">
                  <c:v>246</c:v>
                </c:pt>
                <c:pt idx="2">
                  <c:v>429</c:v>
                </c:pt>
                <c:pt idx="3">
                  <c:v>1359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ResponseTime!$A$5</c:f>
              <c:strCache>
                <c:ptCount val="1"/>
                <c:pt idx="0">
                  <c:v>[GET] Contact Page</c:v>
                </c:pt>
              </c:strCache>
            </c:strRef>
          </c:tx>
          <c:marker>
            <c:symbol val="none"/>
          </c:marker>
          <c:cat>
            <c:numRef>
              <c:f>ResponseTime!$B$1:$F$1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</c:numCache>
            </c:numRef>
          </c:cat>
          <c:val>
            <c:numRef>
              <c:f>ResponseTime!$B$5:$F$5</c:f>
              <c:numCache>
                <c:formatCode>General</c:formatCode>
                <c:ptCount val="5"/>
                <c:pt idx="0">
                  <c:v>180</c:v>
                </c:pt>
                <c:pt idx="1">
                  <c:v>212</c:v>
                </c:pt>
                <c:pt idx="2">
                  <c:v>404</c:v>
                </c:pt>
                <c:pt idx="3">
                  <c:v>1105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ResponseTime!$A$6</c:f>
              <c:strCache>
                <c:ptCount val="1"/>
                <c:pt idx="0">
                  <c:v>[GET] About Page</c:v>
                </c:pt>
              </c:strCache>
            </c:strRef>
          </c:tx>
          <c:marker>
            <c:symbol val="none"/>
          </c:marker>
          <c:cat>
            <c:numRef>
              <c:f>ResponseTime!$B$1:$F$1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</c:numCache>
            </c:numRef>
          </c:cat>
          <c:val>
            <c:numRef>
              <c:f>ResponseTime!$B$6:$F$6</c:f>
              <c:numCache>
                <c:formatCode>General</c:formatCode>
                <c:ptCount val="5"/>
                <c:pt idx="0">
                  <c:v>194</c:v>
                </c:pt>
                <c:pt idx="1">
                  <c:v>220</c:v>
                </c:pt>
                <c:pt idx="2">
                  <c:v>468</c:v>
                </c:pt>
                <c:pt idx="3">
                  <c:v>1184</c:v>
                </c:pt>
              </c:numCache>
            </c:numRef>
          </c:val>
          <c:smooth val="0"/>
        </c:ser>
        <c:ser>
          <c:idx val="6"/>
          <c:order val="5"/>
          <c:tx>
            <c:strRef>
              <c:f>ResponseTime!$A$7</c:f>
              <c:strCache>
                <c:ptCount val="1"/>
                <c:pt idx="0">
                  <c:v>[GET] Search &lt;bag&gt;</c:v>
                </c:pt>
              </c:strCache>
            </c:strRef>
          </c:tx>
          <c:marker>
            <c:symbol val="none"/>
          </c:marker>
          <c:cat>
            <c:numRef>
              <c:f>ResponseTime!$B$1:$F$1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</c:numCache>
            </c:numRef>
          </c:cat>
          <c:val>
            <c:numRef>
              <c:f>ResponseTime!$B$7:$F$7</c:f>
              <c:numCache>
                <c:formatCode>General</c:formatCode>
                <c:ptCount val="5"/>
                <c:pt idx="0">
                  <c:v>312</c:v>
                </c:pt>
                <c:pt idx="1">
                  <c:v>338</c:v>
                </c:pt>
                <c:pt idx="2">
                  <c:v>633</c:v>
                </c:pt>
                <c:pt idx="3">
                  <c:v>2521</c:v>
                </c:pt>
              </c:numCache>
            </c:numRef>
          </c:val>
          <c:smooth val="0"/>
        </c:ser>
        <c:ser>
          <c:idx val="5"/>
          <c:order val="6"/>
          <c:tx>
            <c:strRef>
              <c:f>ResponseTime!$A$8</c:f>
              <c:strCache>
                <c:ptCount val="1"/>
                <c:pt idx="0">
                  <c:v>[GET] Category</c:v>
                </c:pt>
              </c:strCache>
            </c:strRef>
          </c:tx>
          <c:marker>
            <c:symbol val="none"/>
          </c:marker>
          <c:cat>
            <c:numRef>
              <c:f>ResponseTime!$B$1:$F$1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</c:numCache>
            </c:numRef>
          </c:cat>
          <c:val>
            <c:numRef>
              <c:f>ResponseTime!$B$8:$F$8</c:f>
              <c:numCache>
                <c:formatCode>General</c:formatCode>
                <c:ptCount val="5"/>
                <c:pt idx="0">
                  <c:v>305</c:v>
                </c:pt>
                <c:pt idx="1">
                  <c:v>348</c:v>
                </c:pt>
                <c:pt idx="2">
                  <c:v>629</c:v>
                </c:pt>
                <c:pt idx="3">
                  <c:v>2564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ResponseTime!$A$9</c:f>
              <c:strCache>
                <c:ptCount val="1"/>
                <c:pt idx="0">
                  <c:v>[GET] Product Details</c:v>
                </c:pt>
              </c:strCache>
            </c:strRef>
          </c:tx>
          <c:marker>
            <c:symbol val="none"/>
          </c:marker>
          <c:cat>
            <c:numRef>
              <c:f>ResponseTime!$B$1:$F$1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</c:numCache>
            </c:numRef>
          </c:cat>
          <c:val>
            <c:numRef>
              <c:f>ResponseTime!$B$9:$F$9</c:f>
              <c:numCache>
                <c:formatCode>General</c:formatCode>
                <c:ptCount val="5"/>
                <c:pt idx="0">
                  <c:v>244</c:v>
                </c:pt>
                <c:pt idx="1">
                  <c:v>301</c:v>
                </c:pt>
                <c:pt idx="2">
                  <c:v>551</c:v>
                </c:pt>
                <c:pt idx="3">
                  <c:v>2134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ResponseTime!$A$10</c:f>
              <c:strCache>
                <c:ptCount val="1"/>
                <c:pt idx="0">
                  <c:v>[POST] Add to cart</c:v>
                </c:pt>
              </c:strCache>
            </c:strRef>
          </c:tx>
          <c:marker>
            <c:symbol val="none"/>
          </c:marker>
          <c:cat>
            <c:numRef>
              <c:f>ResponseTime!$B$1:$F$1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</c:numCache>
            </c:numRef>
          </c:cat>
          <c:val>
            <c:numRef>
              <c:f>ResponseTime!$B$10:$F$10</c:f>
              <c:numCache>
                <c:formatCode>General</c:formatCode>
                <c:ptCount val="5"/>
                <c:pt idx="0">
                  <c:v>533</c:v>
                </c:pt>
                <c:pt idx="1">
                  <c:v>583</c:v>
                </c:pt>
                <c:pt idx="2">
                  <c:v>1069</c:v>
                </c:pt>
                <c:pt idx="3">
                  <c:v>3612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ResponseTime!$A$11</c:f>
              <c:strCache>
                <c:ptCount val="1"/>
                <c:pt idx="0">
                  <c:v>[GET] View Cart</c:v>
                </c:pt>
              </c:strCache>
            </c:strRef>
          </c:tx>
          <c:marker>
            <c:symbol val="none"/>
          </c:marker>
          <c:cat>
            <c:numRef>
              <c:f>ResponseTime!$B$1:$F$1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</c:numCache>
            </c:numRef>
          </c:cat>
          <c:val>
            <c:numRef>
              <c:f>ResponseTime!$B$11:$F$11</c:f>
              <c:numCache>
                <c:formatCode>General</c:formatCode>
                <c:ptCount val="5"/>
                <c:pt idx="0">
                  <c:v>300</c:v>
                </c:pt>
                <c:pt idx="1">
                  <c:v>336</c:v>
                </c:pt>
                <c:pt idx="2">
                  <c:v>613</c:v>
                </c:pt>
                <c:pt idx="3">
                  <c:v>2127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53537520"/>
        <c:axId val="-553545680"/>
      </c:lineChart>
      <c:catAx>
        <c:axId val="-553537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threads </a:t>
                </a:r>
                <a:r>
                  <a:rPr lang="en-US" baseline="0"/>
                  <a:t>(users)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553545680"/>
        <c:crosses val="autoZero"/>
        <c:auto val="1"/>
        <c:lblAlgn val="ctr"/>
        <c:lblOffset val="100"/>
        <c:noMultiLvlLbl val="0"/>
      </c:catAx>
      <c:valAx>
        <c:axId val="-5535456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response time (ms)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55353752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'Other runs'!$A$2</c:f>
              <c:strCache>
                <c:ptCount val="1"/>
                <c:pt idx="0">
                  <c:v>Home page</c:v>
                </c:pt>
              </c:strCache>
            </c:strRef>
          </c:tx>
          <c:marker>
            <c:symbol val="none"/>
          </c:marker>
          <c:cat>
            <c:strRef>
              <c:f>'Other runs'!$B$1:$F$1</c:f>
              <c:strCache>
                <c:ptCount val="5"/>
                <c:pt idx="0">
                  <c:v>9 dec</c:v>
                </c:pt>
                <c:pt idx="1">
                  <c:v>10 dec</c:v>
                </c:pt>
                <c:pt idx="2">
                  <c:v>11 dec</c:v>
                </c:pt>
                <c:pt idx="3">
                  <c:v>12 dec</c:v>
                </c:pt>
                <c:pt idx="4">
                  <c:v>13 dec</c:v>
                </c:pt>
              </c:strCache>
            </c:strRef>
          </c:cat>
          <c:val>
            <c:numRef>
              <c:f>'Other runs'!$B$2:$F$2</c:f>
              <c:numCache>
                <c:formatCode>General</c:formatCode>
                <c:ptCount val="5"/>
                <c:pt idx="0">
                  <c:v>17187</c:v>
                </c:pt>
                <c:pt idx="1">
                  <c:v>10540</c:v>
                </c:pt>
                <c:pt idx="2">
                  <c:v>9668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'Other runs'!$A$3</c:f>
              <c:strCache>
                <c:ptCount val="1"/>
                <c:pt idx="0">
                  <c:v>Wishlist page</c:v>
                </c:pt>
              </c:strCache>
            </c:strRef>
          </c:tx>
          <c:marker>
            <c:symbol val="none"/>
          </c:marker>
          <c:cat>
            <c:strRef>
              <c:f>'Other runs'!$B$1:$F$1</c:f>
              <c:strCache>
                <c:ptCount val="5"/>
                <c:pt idx="0">
                  <c:v>9 dec</c:v>
                </c:pt>
                <c:pt idx="1">
                  <c:v>10 dec</c:v>
                </c:pt>
                <c:pt idx="2">
                  <c:v>11 dec</c:v>
                </c:pt>
                <c:pt idx="3">
                  <c:v>12 dec</c:v>
                </c:pt>
                <c:pt idx="4">
                  <c:v>13 dec</c:v>
                </c:pt>
              </c:strCache>
            </c:strRef>
          </c:cat>
          <c:val>
            <c:numRef>
              <c:f>'Other runs'!$B$3:$F$3</c:f>
              <c:numCache>
                <c:formatCode>General</c:formatCode>
                <c:ptCount val="5"/>
                <c:pt idx="0">
                  <c:v>4005</c:v>
                </c:pt>
                <c:pt idx="1">
                  <c:v>3848</c:v>
                </c:pt>
                <c:pt idx="2">
                  <c:v>3752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'Other runs'!$A$4</c:f>
              <c:strCache>
                <c:ptCount val="1"/>
                <c:pt idx="0">
                  <c:v>Last minute offers</c:v>
                </c:pt>
              </c:strCache>
            </c:strRef>
          </c:tx>
          <c:marker>
            <c:symbol val="none"/>
          </c:marker>
          <c:cat>
            <c:strRef>
              <c:f>'Other runs'!$B$1:$F$1</c:f>
              <c:strCache>
                <c:ptCount val="5"/>
                <c:pt idx="0">
                  <c:v>9 dec</c:v>
                </c:pt>
                <c:pt idx="1">
                  <c:v>10 dec</c:v>
                </c:pt>
                <c:pt idx="2">
                  <c:v>11 dec</c:v>
                </c:pt>
                <c:pt idx="3">
                  <c:v>12 dec</c:v>
                </c:pt>
                <c:pt idx="4">
                  <c:v>13 dec</c:v>
                </c:pt>
              </c:strCache>
            </c:strRef>
          </c:cat>
          <c:val>
            <c:numRef>
              <c:f>'Other runs'!$B$4:$F$4</c:f>
              <c:numCache>
                <c:formatCode>General</c:formatCode>
                <c:ptCount val="5"/>
                <c:pt idx="0">
                  <c:v>5984</c:v>
                </c:pt>
                <c:pt idx="1">
                  <c:v>5263</c:v>
                </c:pt>
                <c:pt idx="2">
                  <c:v>3939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'Other runs'!$A$5</c:f>
              <c:strCache>
                <c:ptCount val="1"/>
                <c:pt idx="0">
                  <c:v>Ski page</c:v>
                </c:pt>
              </c:strCache>
            </c:strRef>
          </c:tx>
          <c:marker>
            <c:symbol val="none"/>
          </c:marker>
          <c:cat>
            <c:strRef>
              <c:f>'Other runs'!$B$1:$F$1</c:f>
              <c:strCache>
                <c:ptCount val="5"/>
                <c:pt idx="0">
                  <c:v>9 dec</c:v>
                </c:pt>
                <c:pt idx="1">
                  <c:v>10 dec</c:v>
                </c:pt>
                <c:pt idx="2">
                  <c:v>11 dec</c:v>
                </c:pt>
                <c:pt idx="3">
                  <c:v>12 dec</c:v>
                </c:pt>
                <c:pt idx="4">
                  <c:v>13 dec</c:v>
                </c:pt>
              </c:strCache>
            </c:strRef>
          </c:cat>
          <c:val>
            <c:numRef>
              <c:f>'Other runs'!$B$5:$F$5</c:f>
              <c:numCache>
                <c:formatCode>General</c:formatCode>
                <c:ptCount val="5"/>
                <c:pt idx="0">
                  <c:v>6042</c:v>
                </c:pt>
                <c:pt idx="1">
                  <c:v>4275</c:v>
                </c:pt>
                <c:pt idx="2">
                  <c:v>4351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'Other runs'!$A$6</c:f>
              <c:strCache>
                <c:ptCount val="1"/>
                <c:pt idx="0">
                  <c:v>Promotion Page</c:v>
                </c:pt>
              </c:strCache>
            </c:strRef>
          </c:tx>
          <c:marker>
            <c:symbol val="none"/>
          </c:marker>
          <c:cat>
            <c:strRef>
              <c:f>'Other runs'!$B$1:$F$1</c:f>
              <c:strCache>
                <c:ptCount val="5"/>
                <c:pt idx="0">
                  <c:v>9 dec</c:v>
                </c:pt>
                <c:pt idx="1">
                  <c:v>10 dec</c:v>
                </c:pt>
                <c:pt idx="2">
                  <c:v>11 dec</c:v>
                </c:pt>
                <c:pt idx="3">
                  <c:v>12 dec</c:v>
                </c:pt>
                <c:pt idx="4">
                  <c:v>13 dec</c:v>
                </c:pt>
              </c:strCache>
            </c:strRef>
          </c:cat>
          <c:val>
            <c:numRef>
              <c:f>'Other runs'!$B$6:$F$6</c:f>
              <c:numCache>
                <c:formatCode>General</c:formatCode>
                <c:ptCount val="5"/>
                <c:pt idx="0">
                  <c:v>6685</c:v>
                </c:pt>
                <c:pt idx="1">
                  <c:v>5548</c:v>
                </c:pt>
                <c:pt idx="2">
                  <c:v>5190</c:v>
                </c:pt>
              </c:numCache>
            </c:numRef>
          </c:val>
          <c:smooth val="0"/>
        </c:ser>
        <c:ser>
          <c:idx val="6"/>
          <c:order val="5"/>
          <c:tx>
            <c:strRef>
              <c:f>'Other runs'!$A$7</c:f>
              <c:strCache>
                <c:ptCount val="1"/>
                <c:pt idx="0">
                  <c:v>Tours Page</c:v>
                </c:pt>
              </c:strCache>
            </c:strRef>
          </c:tx>
          <c:marker>
            <c:symbol val="none"/>
          </c:marker>
          <c:cat>
            <c:strRef>
              <c:f>'Other runs'!$B$1:$F$1</c:f>
              <c:strCache>
                <c:ptCount val="5"/>
                <c:pt idx="0">
                  <c:v>9 dec</c:v>
                </c:pt>
                <c:pt idx="1">
                  <c:v>10 dec</c:v>
                </c:pt>
                <c:pt idx="2">
                  <c:v>11 dec</c:v>
                </c:pt>
                <c:pt idx="3">
                  <c:v>12 dec</c:v>
                </c:pt>
                <c:pt idx="4">
                  <c:v>13 dec</c:v>
                </c:pt>
              </c:strCache>
            </c:strRef>
          </c:cat>
          <c:val>
            <c:numRef>
              <c:f>'Other runs'!$B$7:$F$7</c:f>
              <c:numCache>
                <c:formatCode>General</c:formatCode>
                <c:ptCount val="5"/>
                <c:pt idx="0">
                  <c:v>6054</c:v>
                </c:pt>
                <c:pt idx="1">
                  <c:v>5220</c:v>
                </c:pt>
                <c:pt idx="2">
                  <c:v>4872</c:v>
                </c:pt>
              </c:numCache>
            </c:numRef>
          </c:val>
          <c:smooth val="0"/>
        </c:ser>
        <c:ser>
          <c:idx val="7"/>
          <c:order val="6"/>
          <c:tx>
            <c:strRef>
              <c:f>'Other runs'!$A$8</c:f>
              <c:strCache>
                <c:ptCount val="1"/>
                <c:pt idx="0">
                  <c:v>Charters Page</c:v>
                </c:pt>
              </c:strCache>
            </c:strRef>
          </c:tx>
          <c:marker>
            <c:symbol val="none"/>
          </c:marker>
          <c:cat>
            <c:strRef>
              <c:f>'Other runs'!$B$1:$F$1</c:f>
              <c:strCache>
                <c:ptCount val="5"/>
                <c:pt idx="0">
                  <c:v>9 dec</c:v>
                </c:pt>
                <c:pt idx="1">
                  <c:v>10 dec</c:v>
                </c:pt>
                <c:pt idx="2">
                  <c:v>11 dec</c:v>
                </c:pt>
                <c:pt idx="3">
                  <c:v>12 dec</c:v>
                </c:pt>
                <c:pt idx="4">
                  <c:v>13 dec</c:v>
                </c:pt>
              </c:strCache>
            </c:strRef>
          </c:cat>
          <c:val>
            <c:numRef>
              <c:f>'Other runs'!$B$8:$F$8</c:f>
              <c:numCache>
                <c:formatCode>General</c:formatCode>
                <c:ptCount val="5"/>
                <c:pt idx="0">
                  <c:v>4858</c:v>
                </c:pt>
                <c:pt idx="1">
                  <c:v>4007</c:v>
                </c:pt>
                <c:pt idx="2">
                  <c:v>3618</c:v>
                </c:pt>
              </c:numCache>
            </c:numRef>
          </c:val>
          <c:smooth val="0"/>
        </c:ser>
        <c:ser>
          <c:idx val="8"/>
          <c:order val="7"/>
          <c:tx>
            <c:strRef>
              <c:f>'Other runs'!$A$9</c:f>
              <c:strCache>
                <c:ptCount val="1"/>
                <c:pt idx="0">
                  <c:v>Destination Page</c:v>
                </c:pt>
              </c:strCache>
            </c:strRef>
          </c:tx>
          <c:marker>
            <c:symbol val="none"/>
          </c:marker>
          <c:cat>
            <c:strRef>
              <c:f>'Other runs'!$B$1:$F$1</c:f>
              <c:strCache>
                <c:ptCount val="5"/>
                <c:pt idx="0">
                  <c:v>9 dec</c:v>
                </c:pt>
                <c:pt idx="1">
                  <c:v>10 dec</c:v>
                </c:pt>
                <c:pt idx="2">
                  <c:v>11 dec</c:v>
                </c:pt>
                <c:pt idx="3">
                  <c:v>12 dec</c:v>
                </c:pt>
                <c:pt idx="4">
                  <c:v>13 dec</c:v>
                </c:pt>
              </c:strCache>
            </c:strRef>
          </c:cat>
          <c:val>
            <c:numRef>
              <c:f>'Other runs'!$B$9:$F$9</c:f>
              <c:numCache>
                <c:formatCode>General</c:formatCode>
                <c:ptCount val="5"/>
                <c:pt idx="0">
                  <c:v>15998</c:v>
                </c:pt>
                <c:pt idx="1">
                  <c:v>14381</c:v>
                </c:pt>
                <c:pt idx="2">
                  <c:v>13789</c:v>
                </c:pt>
              </c:numCache>
            </c:numRef>
          </c:val>
          <c:smooth val="0"/>
        </c:ser>
        <c:ser>
          <c:idx val="5"/>
          <c:order val="8"/>
          <c:tx>
            <c:strRef>
              <c:f>'Other runs'!$A$10</c:f>
              <c:strCache>
                <c:ptCount val="1"/>
                <c:pt idx="0">
                  <c:v>Airline Tickets Page</c:v>
                </c:pt>
              </c:strCache>
            </c:strRef>
          </c:tx>
          <c:marker>
            <c:symbol val="none"/>
          </c:marker>
          <c:cat>
            <c:strRef>
              <c:f>'Other runs'!$B$1:$F$1</c:f>
              <c:strCache>
                <c:ptCount val="5"/>
                <c:pt idx="0">
                  <c:v>9 dec</c:v>
                </c:pt>
                <c:pt idx="1">
                  <c:v>10 dec</c:v>
                </c:pt>
                <c:pt idx="2">
                  <c:v>11 dec</c:v>
                </c:pt>
                <c:pt idx="3">
                  <c:v>12 dec</c:v>
                </c:pt>
                <c:pt idx="4">
                  <c:v>13 dec</c:v>
                </c:pt>
              </c:strCache>
            </c:strRef>
          </c:cat>
          <c:val>
            <c:numRef>
              <c:f>'Other runs'!$B$10:$F$10</c:f>
              <c:numCache>
                <c:formatCode>General</c:formatCode>
                <c:ptCount val="5"/>
                <c:pt idx="0">
                  <c:v>4536</c:v>
                </c:pt>
                <c:pt idx="1">
                  <c:v>3876</c:v>
                </c:pt>
                <c:pt idx="2">
                  <c:v>3546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53534800"/>
        <c:axId val="-553536976"/>
      </c:lineChart>
      <c:catAx>
        <c:axId val="-553534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553536976"/>
        <c:crosses val="autoZero"/>
        <c:auto val="1"/>
        <c:lblAlgn val="ctr"/>
        <c:lblOffset val="100"/>
        <c:noMultiLvlLbl val="0"/>
      </c:catAx>
      <c:valAx>
        <c:axId val="-5535369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response time (ms)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55353480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Throughput!$A$2</c:f>
              <c:strCache>
                <c:ptCount val="1"/>
                <c:pt idx="0">
                  <c:v>Home page</c:v>
                </c:pt>
              </c:strCache>
            </c:strRef>
          </c:tx>
          <c:marker>
            <c:symbol val="none"/>
          </c:marker>
          <c:cat>
            <c:numRef>
              <c:f>Throughput!$B$1:$F$1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cat>
          <c:val>
            <c:numRef>
              <c:f>Throughput!$B$2:$F$2</c:f>
              <c:numCache>
                <c:formatCode>General</c:formatCode>
                <c:ptCount val="5"/>
                <c:pt idx="0">
                  <c:v>8.9553655624999406E-3</c:v>
                </c:pt>
                <c:pt idx="1">
                  <c:v>4.7092020633839701E-2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Throughput!$A$3</c:f>
              <c:strCache>
                <c:ptCount val="1"/>
                <c:pt idx="0">
                  <c:v>Wishlist page</c:v>
                </c:pt>
              </c:strCache>
            </c:strRef>
          </c:tx>
          <c:marker>
            <c:symbol val="none"/>
          </c:marker>
          <c:cat>
            <c:numRef>
              <c:f>Throughput!$B$1:$F$1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cat>
          <c:val>
            <c:numRef>
              <c:f>Throughput!$B$3:$F$3</c:f>
              <c:numCache>
                <c:formatCode>General</c:formatCode>
                <c:ptCount val="5"/>
                <c:pt idx="0">
                  <c:v>8.9955319192956806E-3</c:v>
                </c:pt>
                <c:pt idx="1">
                  <c:v>4.7460551975711501E-2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Throughput!$A$4</c:f>
              <c:strCache>
                <c:ptCount val="1"/>
                <c:pt idx="0">
                  <c:v>Last minute offers</c:v>
                </c:pt>
              </c:strCache>
            </c:strRef>
          </c:tx>
          <c:marker>
            <c:symbol val="none"/>
          </c:marker>
          <c:cat>
            <c:numRef>
              <c:f>Throughput!$B$1:$F$1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cat>
          <c:val>
            <c:numRef>
              <c:f>Throughput!$B$4:$F$4</c:f>
              <c:numCache>
                <c:formatCode>General</c:formatCode>
                <c:ptCount val="5"/>
                <c:pt idx="0">
                  <c:v>8.9879884522324292E-3</c:v>
                </c:pt>
                <c:pt idx="1">
                  <c:v>4.7458907704763797E-2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Throughput!$A$5</c:f>
              <c:strCache>
                <c:ptCount val="1"/>
                <c:pt idx="0">
                  <c:v>Ski page</c:v>
                </c:pt>
              </c:strCache>
            </c:strRef>
          </c:tx>
          <c:marker>
            <c:symbol val="none"/>
          </c:marker>
          <c:cat>
            <c:numRef>
              <c:f>Throughput!$B$1:$F$1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cat>
          <c:val>
            <c:numRef>
              <c:f>Throughput!$B$5:$F$5</c:f>
              <c:numCache>
                <c:formatCode>General</c:formatCode>
                <c:ptCount val="5"/>
                <c:pt idx="0">
                  <c:v>8.9912209718430898E-3</c:v>
                </c:pt>
                <c:pt idx="1">
                  <c:v>4.7468211725312799E-2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Throughput!$A$6</c:f>
              <c:strCache>
                <c:ptCount val="1"/>
                <c:pt idx="0">
                  <c:v>Promotion Page</c:v>
                </c:pt>
              </c:strCache>
            </c:strRef>
          </c:tx>
          <c:marker>
            <c:symbol val="none"/>
          </c:marker>
          <c:cat>
            <c:numRef>
              <c:f>Throughput!$B$1:$F$1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cat>
          <c:val>
            <c:numRef>
              <c:f>Throughput!$B$6:$F$6</c:f>
              <c:numCache>
                <c:formatCode>General</c:formatCode>
                <c:ptCount val="5"/>
                <c:pt idx="0">
                  <c:v>8.9821999743109095E-3</c:v>
                </c:pt>
                <c:pt idx="1">
                  <c:v>4.73913434971968E-2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Throughput!$A$7</c:f>
              <c:strCache>
                <c:ptCount val="1"/>
                <c:pt idx="0">
                  <c:v>Destination Page</c:v>
                </c:pt>
              </c:strCache>
            </c:strRef>
          </c:tx>
          <c:marker>
            <c:symbol val="none"/>
          </c:marker>
          <c:cat>
            <c:numRef>
              <c:f>Throughput!$B$1:$F$1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cat>
          <c:val>
            <c:numRef>
              <c:f>Throughput!$B$7:$F$7</c:f>
              <c:numCache>
                <c:formatCode>General</c:formatCode>
                <c:ptCount val="5"/>
                <c:pt idx="0">
                  <c:v>8.8874116035823295E-3</c:v>
                </c:pt>
                <c:pt idx="1">
                  <c:v>4.7101957839979502E-2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Throughput!$A$8</c:f>
              <c:strCache>
                <c:ptCount val="1"/>
                <c:pt idx="0">
                  <c:v>Tours Page</c:v>
                </c:pt>
              </c:strCache>
            </c:strRef>
          </c:tx>
          <c:marker>
            <c:symbol val="none"/>
          </c:marker>
          <c:cat>
            <c:numRef>
              <c:f>Throughput!$B$1:$F$1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cat>
          <c:val>
            <c:numRef>
              <c:f>Throughput!$B$8:$F$8</c:f>
              <c:numCache>
                <c:formatCode>General</c:formatCode>
                <c:ptCount val="5"/>
                <c:pt idx="0">
                  <c:v>8.9899761765631307E-3</c:v>
                </c:pt>
                <c:pt idx="1">
                  <c:v>4.7386111036083103E-2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Throughput!$A$9</c:f>
              <c:strCache>
                <c:ptCount val="1"/>
                <c:pt idx="0">
                  <c:v>Charters Page</c:v>
                </c:pt>
              </c:strCache>
            </c:strRef>
          </c:tx>
          <c:marker>
            <c:symbol val="none"/>
          </c:marker>
          <c:cat>
            <c:numRef>
              <c:f>Throughput!$B$1:$F$1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cat>
          <c:val>
            <c:numRef>
              <c:f>Throughput!$B$9:$F$9</c:f>
              <c:numCache>
                <c:formatCode>General</c:formatCode>
                <c:ptCount val="5"/>
                <c:pt idx="0">
                  <c:v>8.9961550433344702E-3</c:v>
                </c:pt>
                <c:pt idx="1">
                  <c:v>4.7388626066303299E-2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Throughput!$A$10</c:f>
              <c:strCache>
                <c:ptCount val="1"/>
                <c:pt idx="0">
                  <c:v>Get country names</c:v>
                </c:pt>
              </c:strCache>
            </c:strRef>
          </c:tx>
          <c:marker>
            <c:symbol val="none"/>
          </c:marker>
          <c:cat>
            <c:numRef>
              <c:f>Throughput!$B$1:$F$1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cat>
          <c:val>
            <c:numRef>
              <c:f>Throughput!$B$10:$F$10</c:f>
              <c:numCache>
                <c:formatCode>General</c:formatCode>
                <c:ptCount val="5"/>
                <c:pt idx="0">
                  <c:v>8.9013349331999309E-3</c:v>
                </c:pt>
                <c:pt idx="1">
                  <c:v>4.7090224399046303E-2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Throughput!$A$11</c:f>
              <c:strCache>
                <c:ptCount val="1"/>
                <c:pt idx="0">
                  <c:v>Search a country </c:v>
                </c:pt>
              </c:strCache>
            </c:strRef>
          </c:tx>
          <c:marker>
            <c:symbol val="none"/>
          </c:marker>
          <c:cat>
            <c:numRef>
              <c:f>Throughput!$B$1:$F$1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cat>
          <c:val>
            <c:numRef>
              <c:f>Throughput!$B$11:$F$11</c:f>
              <c:numCache>
                <c:formatCode>General</c:formatCode>
                <c:ptCount val="5"/>
                <c:pt idx="0">
                  <c:v>9.01414138500479E-3</c:v>
                </c:pt>
                <c:pt idx="1">
                  <c:v>4.7355345992364399E-2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Throughput!$A$12</c:f>
              <c:strCache>
                <c:ptCount val="1"/>
                <c:pt idx="0">
                  <c:v>Destination Details</c:v>
                </c:pt>
              </c:strCache>
            </c:strRef>
          </c:tx>
          <c:marker>
            <c:symbol val="none"/>
          </c:marker>
          <c:cat>
            <c:numRef>
              <c:f>Throughput!$B$1:$F$1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cat>
          <c:val>
            <c:numRef>
              <c:f>Throughput!$B$12:$F$12</c:f>
              <c:numCache>
                <c:formatCode>General</c:formatCode>
                <c:ptCount val="5"/>
                <c:pt idx="0">
                  <c:v>7.2151764020440597E-3</c:v>
                </c:pt>
                <c:pt idx="1">
                  <c:v>4.3863287667836599E-2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Throughput!$A$13</c:f>
              <c:strCache>
                <c:ptCount val="1"/>
                <c:pt idx="0">
                  <c:v>Visit Destination Page</c:v>
                </c:pt>
              </c:strCache>
            </c:strRef>
          </c:tx>
          <c:marker>
            <c:symbol val="none"/>
          </c:marker>
          <c:cat>
            <c:numRef>
              <c:f>Throughput!$B$1:$F$1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</c:numCache>
            </c:numRef>
          </c:cat>
          <c:val>
            <c:numRef>
              <c:f>Throughput!$B$13:$F$13</c:f>
              <c:numCache>
                <c:formatCode>General</c:formatCode>
                <c:ptCount val="5"/>
                <c:pt idx="0">
                  <c:v>7.2419293223907697E-3</c:v>
                </c:pt>
                <c:pt idx="1">
                  <c:v>4.3928591210079797E-2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53533168"/>
        <c:axId val="-599257840"/>
      </c:lineChart>
      <c:catAx>
        <c:axId val="-553533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threads </a:t>
                </a:r>
                <a:r>
                  <a:rPr lang="en-US" baseline="0"/>
                  <a:t>(users)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599257840"/>
        <c:crosses val="autoZero"/>
        <c:auto val="1"/>
        <c:lblAlgn val="ctr"/>
        <c:lblOffset val="100"/>
        <c:noMultiLvlLbl val="0"/>
      </c:catAx>
      <c:valAx>
        <c:axId val="-5992578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Throughput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55353316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380999</xdr:colOff>
      <xdr:row>1</xdr:row>
      <xdr:rowOff>47625</xdr:rowOff>
    </xdr:from>
    <xdr:to>
      <xdr:col>16</xdr:col>
      <xdr:colOff>504825</xdr:colOff>
      <xdr:row>28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</xdr:colOff>
      <xdr:row>1</xdr:row>
      <xdr:rowOff>0</xdr:rowOff>
    </xdr:from>
    <xdr:to>
      <xdr:col>16</xdr:col>
      <xdr:colOff>609599</xdr:colOff>
      <xdr:row>31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238124</xdr:colOff>
      <xdr:row>1</xdr:row>
      <xdr:rowOff>42861</xdr:rowOff>
    </xdr:from>
    <xdr:to>
      <xdr:col>21</xdr:col>
      <xdr:colOff>314325</xdr:colOff>
      <xdr:row>35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C19" totalsRowShown="0" dataDxfId="3">
  <autoFilter ref="A1:C19"/>
  <tableColumns count="3">
    <tableColumn id="1" name="Label" dataDxfId="2"/>
    <tableColumn id="2" name="URL" dataDxfId="1"/>
    <tableColumn id="3" name="Examp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selection activeCell="M35" sqref="M35"/>
    </sheetView>
  </sheetViews>
  <sheetFormatPr defaultRowHeight="15" x14ac:dyDescent="0.25"/>
  <cols>
    <col min="1" max="1" width="37.7109375" bestFit="1" customWidth="1"/>
    <col min="2" max="2" width="8.42578125" bestFit="1" customWidth="1"/>
    <col min="3" max="3" width="26.42578125" bestFit="1" customWidth="1"/>
    <col min="4" max="4" width="8.42578125" bestFit="1" customWidth="1"/>
    <col min="5" max="5" width="8.7109375" bestFit="1" customWidth="1"/>
    <col min="6" max="10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109</v>
      </c>
    </row>
    <row r="2" spans="1:11" x14ac:dyDescent="0.25">
      <c r="A2" s="8" t="s">
        <v>110</v>
      </c>
      <c r="B2" s="8">
        <v>10</v>
      </c>
      <c r="C2" s="8">
        <v>275</v>
      </c>
      <c r="D2" s="8">
        <v>229</v>
      </c>
      <c r="E2" s="8">
        <v>439</v>
      </c>
      <c r="F2" s="8">
        <v>66.761965219726704</v>
      </c>
      <c r="G2" s="8">
        <v>0</v>
      </c>
      <c r="H2" s="8">
        <v>4.3868114899366498E-2</v>
      </c>
      <c r="I2" s="8">
        <v>9.1820291319925698</v>
      </c>
      <c r="J2" s="8">
        <v>214333.3</v>
      </c>
      <c r="K2">
        <v>1</v>
      </c>
    </row>
    <row r="3" spans="1:11" x14ac:dyDescent="0.25">
      <c r="A3" s="8" t="s">
        <v>111</v>
      </c>
      <c r="B3" s="8">
        <v>5</v>
      </c>
      <c r="C3" s="8">
        <v>405</v>
      </c>
      <c r="D3" s="8">
        <v>332</v>
      </c>
      <c r="E3" s="8">
        <v>458</v>
      </c>
      <c r="F3" s="8">
        <v>45.378408962853797</v>
      </c>
      <c r="G3" s="8">
        <v>0</v>
      </c>
      <c r="H3" s="8">
        <v>2.3310240654924499E-2</v>
      </c>
      <c r="I3" s="8">
        <v>3.7568003984885601</v>
      </c>
      <c r="J3" s="8">
        <v>165033.20000000001</v>
      </c>
      <c r="K3">
        <v>1</v>
      </c>
    </row>
    <row r="4" spans="1:11" x14ac:dyDescent="0.25">
      <c r="A4" s="8" t="s">
        <v>112</v>
      </c>
      <c r="B4" s="8">
        <v>5</v>
      </c>
      <c r="C4" s="8">
        <v>238</v>
      </c>
      <c r="D4" s="8">
        <v>216</v>
      </c>
      <c r="E4" s="8">
        <v>263</v>
      </c>
      <c r="F4" s="8">
        <v>16.740370366273201</v>
      </c>
      <c r="G4" s="8">
        <v>0</v>
      </c>
      <c r="H4" s="8">
        <v>2.3320134137411502E-2</v>
      </c>
      <c r="I4" s="8">
        <v>4.8697268075435902</v>
      </c>
      <c r="J4" s="8">
        <v>213832.4</v>
      </c>
      <c r="K4">
        <v>1</v>
      </c>
    </row>
    <row r="5" spans="1:11" x14ac:dyDescent="0.25">
      <c r="A5" s="8" t="s">
        <v>113</v>
      </c>
      <c r="B5" s="8">
        <v>5</v>
      </c>
      <c r="C5" s="8">
        <v>180</v>
      </c>
      <c r="D5" s="8">
        <v>157</v>
      </c>
      <c r="E5" s="8">
        <v>194</v>
      </c>
      <c r="F5" s="8">
        <v>14.305243793797899</v>
      </c>
      <c r="G5" s="8">
        <v>0</v>
      </c>
      <c r="H5" s="8">
        <v>2.3325573692484902E-2</v>
      </c>
      <c r="I5" s="8">
        <v>1.08688517432367</v>
      </c>
      <c r="J5" s="8">
        <v>47714.6</v>
      </c>
      <c r="K5">
        <v>1</v>
      </c>
    </row>
    <row r="6" spans="1:11" x14ac:dyDescent="0.25">
      <c r="A6" s="8" t="s">
        <v>114</v>
      </c>
      <c r="B6" s="8">
        <v>5</v>
      </c>
      <c r="C6" s="8">
        <v>194</v>
      </c>
      <c r="D6" s="8">
        <v>177</v>
      </c>
      <c r="E6" s="8">
        <v>227</v>
      </c>
      <c r="F6" s="8">
        <v>18.216476058777001</v>
      </c>
      <c r="G6" s="8">
        <v>0</v>
      </c>
      <c r="H6" s="8">
        <v>2.33224184415027E-2</v>
      </c>
      <c r="I6" s="8">
        <v>1.08711167444469</v>
      </c>
      <c r="J6" s="8">
        <v>47731</v>
      </c>
      <c r="K6">
        <v>1</v>
      </c>
    </row>
    <row r="7" spans="1:11" x14ac:dyDescent="0.25">
      <c r="A7" s="8" t="s">
        <v>119</v>
      </c>
      <c r="B7" s="8">
        <v>5</v>
      </c>
      <c r="C7" s="8">
        <v>312</v>
      </c>
      <c r="D7" s="8">
        <v>281</v>
      </c>
      <c r="E7" s="8">
        <v>378</v>
      </c>
      <c r="F7" s="8">
        <v>35.797206594928802</v>
      </c>
      <c r="G7" s="8">
        <v>0</v>
      </c>
      <c r="H7" s="8">
        <v>2.33066549822636E-2</v>
      </c>
      <c r="I7" s="8">
        <v>1.52668149504034</v>
      </c>
      <c r="J7" s="8">
        <v>67076.2</v>
      </c>
      <c r="K7">
        <v>1</v>
      </c>
    </row>
    <row r="8" spans="1:11" x14ac:dyDescent="0.25">
      <c r="A8" s="8" t="s">
        <v>116</v>
      </c>
      <c r="B8" s="8">
        <v>20</v>
      </c>
      <c r="C8" s="8">
        <v>305</v>
      </c>
      <c r="D8" s="8">
        <v>260</v>
      </c>
      <c r="E8" s="8">
        <v>428</v>
      </c>
      <c r="F8" s="8">
        <v>38.438392266066401</v>
      </c>
      <c r="G8" s="8">
        <v>0</v>
      </c>
      <c r="H8" s="8">
        <v>8.2419507048928295E-2</v>
      </c>
      <c r="I8" s="8">
        <v>4.1046081583464096</v>
      </c>
      <c r="J8" s="8">
        <v>50996.65</v>
      </c>
      <c r="K8">
        <v>1</v>
      </c>
    </row>
    <row r="9" spans="1:11" x14ac:dyDescent="0.25">
      <c r="A9" s="8" t="s">
        <v>117</v>
      </c>
      <c r="B9" s="8">
        <v>20</v>
      </c>
      <c r="C9" s="8">
        <v>244</v>
      </c>
      <c r="D9" s="8">
        <v>209</v>
      </c>
      <c r="E9" s="8">
        <v>312</v>
      </c>
      <c r="F9" s="8">
        <v>24.808466296810899</v>
      </c>
      <c r="G9" s="8">
        <v>0</v>
      </c>
      <c r="H9" s="8">
        <v>8.2426640290141698E-2</v>
      </c>
      <c r="I9" s="8">
        <v>7.5196399179339704</v>
      </c>
      <c r="J9" s="8">
        <v>93417.75</v>
      </c>
      <c r="K9">
        <v>1</v>
      </c>
    </row>
    <row r="10" spans="1:11" x14ac:dyDescent="0.25">
      <c r="A10" s="8" t="s">
        <v>118</v>
      </c>
      <c r="B10" s="8">
        <v>20</v>
      </c>
      <c r="C10" s="8">
        <v>533</v>
      </c>
      <c r="D10" s="8">
        <v>443</v>
      </c>
      <c r="E10" s="8">
        <v>985</v>
      </c>
      <c r="F10" s="8">
        <v>131.72390633442299</v>
      </c>
      <c r="G10" s="8">
        <v>0</v>
      </c>
      <c r="H10" s="8">
        <v>8.2322481858183E-2</v>
      </c>
      <c r="I10" s="8">
        <v>5.4657063191766104</v>
      </c>
      <c r="J10" s="8">
        <v>67987.3</v>
      </c>
      <c r="K10">
        <v>1</v>
      </c>
    </row>
    <row r="11" spans="1:11" x14ac:dyDescent="0.25">
      <c r="A11" s="8" t="s">
        <v>115</v>
      </c>
      <c r="B11" s="8">
        <v>20</v>
      </c>
      <c r="C11" s="8">
        <v>300</v>
      </c>
      <c r="D11" s="8">
        <v>225</v>
      </c>
      <c r="E11" s="8">
        <v>428</v>
      </c>
      <c r="F11" s="8">
        <v>58.714052832350198</v>
      </c>
      <c r="G11" s="8">
        <v>0</v>
      </c>
      <c r="H11" s="8">
        <v>8.2558317131263603E-2</v>
      </c>
      <c r="I11" s="8">
        <v>4.0024175397208701</v>
      </c>
      <c r="J11" s="8">
        <v>49643.4</v>
      </c>
      <c r="K11">
        <v>1</v>
      </c>
    </row>
    <row r="12" spans="1:11" x14ac:dyDescent="0.25">
      <c r="A12" s="8" t="s">
        <v>20</v>
      </c>
      <c r="B12" s="8">
        <v>115</v>
      </c>
      <c r="C12" s="8">
        <v>322</v>
      </c>
      <c r="D12" s="8">
        <v>157</v>
      </c>
      <c r="E12" s="8">
        <v>985</v>
      </c>
      <c r="F12" s="8">
        <v>125.958073259643</v>
      </c>
      <c r="G12" s="8">
        <v>0</v>
      </c>
      <c r="H12" s="8">
        <v>0.43309444095039701</v>
      </c>
      <c r="I12" s="8">
        <v>37.1130307054543</v>
      </c>
      <c r="J12" s="8">
        <v>87749.321739130406</v>
      </c>
      <c r="K12">
        <v>1</v>
      </c>
    </row>
    <row r="13" spans="1:1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1" x14ac:dyDescent="0.25">
      <c r="A14" s="8" t="s">
        <v>110</v>
      </c>
      <c r="B14" s="8">
        <v>50</v>
      </c>
      <c r="C14" s="8">
        <v>305</v>
      </c>
      <c r="D14" s="8">
        <v>213</v>
      </c>
      <c r="E14" s="8">
        <v>500</v>
      </c>
      <c r="F14" s="8">
        <v>74.038735807683906</v>
      </c>
      <c r="G14" s="8">
        <v>0</v>
      </c>
      <c r="H14" s="8">
        <v>0.202841402364319</v>
      </c>
      <c r="I14" s="8">
        <v>42.456551688553198</v>
      </c>
      <c r="J14" s="8">
        <v>214332.52</v>
      </c>
      <c r="K14">
        <v>5</v>
      </c>
    </row>
    <row r="15" spans="1:11" x14ac:dyDescent="0.25">
      <c r="A15" s="8" t="s">
        <v>111</v>
      </c>
      <c r="B15" s="8">
        <v>25</v>
      </c>
      <c r="C15" s="8">
        <v>453</v>
      </c>
      <c r="D15" s="8">
        <v>369</v>
      </c>
      <c r="E15" s="8">
        <v>713</v>
      </c>
      <c r="F15" s="8">
        <v>85.141425874834795</v>
      </c>
      <c r="G15" s="8">
        <v>0</v>
      </c>
      <c r="H15" s="8">
        <v>0.10722250814891</v>
      </c>
      <c r="I15" s="8">
        <v>17.2804862071646</v>
      </c>
      <c r="J15" s="8">
        <v>165032.68</v>
      </c>
      <c r="K15">
        <v>5</v>
      </c>
    </row>
    <row r="16" spans="1:11" x14ac:dyDescent="0.25">
      <c r="A16" s="8" t="s">
        <v>112</v>
      </c>
      <c r="B16" s="8">
        <v>25</v>
      </c>
      <c r="C16" s="8">
        <v>246</v>
      </c>
      <c r="D16" s="8">
        <v>180</v>
      </c>
      <c r="E16" s="8">
        <v>455</v>
      </c>
      <c r="F16" s="8">
        <v>55.551576035248502</v>
      </c>
      <c r="G16" s="8">
        <v>0</v>
      </c>
      <c r="H16" s="8">
        <v>0.107289230307061</v>
      </c>
      <c r="I16" s="8">
        <v>22.404082589908299</v>
      </c>
      <c r="J16" s="8">
        <v>213831.16</v>
      </c>
      <c r="K16">
        <v>5</v>
      </c>
    </row>
    <row r="17" spans="1:11" x14ac:dyDescent="0.25">
      <c r="A17" s="8" t="s">
        <v>113</v>
      </c>
      <c r="B17" s="8">
        <v>25</v>
      </c>
      <c r="C17" s="8">
        <v>212</v>
      </c>
      <c r="D17" s="8">
        <v>148</v>
      </c>
      <c r="E17" s="8">
        <v>389</v>
      </c>
      <c r="F17" s="8">
        <v>59.6246392022626</v>
      </c>
      <c r="G17" s="8">
        <v>0</v>
      </c>
      <c r="H17" s="8">
        <v>0.107308572237984</v>
      </c>
      <c r="I17" s="8">
        <v>5.0001477169564703</v>
      </c>
      <c r="J17" s="8">
        <v>47714.28</v>
      </c>
      <c r="K17">
        <v>5</v>
      </c>
    </row>
    <row r="18" spans="1:11" x14ac:dyDescent="0.25">
      <c r="A18" s="8" t="s">
        <v>114</v>
      </c>
      <c r="B18" s="8">
        <v>25</v>
      </c>
      <c r="C18" s="8">
        <v>220</v>
      </c>
      <c r="D18" s="8">
        <v>149</v>
      </c>
      <c r="E18" s="8">
        <v>399</v>
      </c>
      <c r="F18" s="8">
        <v>58.6839126166618</v>
      </c>
      <c r="G18" s="8">
        <v>0</v>
      </c>
      <c r="H18" s="8">
        <v>0.10730442695143801</v>
      </c>
      <c r="I18" s="8">
        <v>5.0017946665407598</v>
      </c>
      <c r="J18" s="8">
        <v>47731.839999999997</v>
      </c>
      <c r="K18">
        <v>5</v>
      </c>
    </row>
    <row r="19" spans="1:11" x14ac:dyDescent="0.25">
      <c r="A19" s="8" t="s">
        <v>119</v>
      </c>
      <c r="B19" s="8">
        <v>25</v>
      </c>
      <c r="C19" s="8">
        <v>338</v>
      </c>
      <c r="D19" s="8">
        <v>246</v>
      </c>
      <c r="E19" s="8">
        <v>515</v>
      </c>
      <c r="F19" s="8">
        <v>74.771117418425703</v>
      </c>
      <c r="G19" s="8">
        <v>0</v>
      </c>
      <c r="H19" s="8">
        <v>0.107274498277171</v>
      </c>
      <c r="I19" s="8">
        <v>7.0270914370277202</v>
      </c>
      <c r="J19" s="8">
        <v>67077.84</v>
      </c>
      <c r="K19">
        <v>5</v>
      </c>
    </row>
    <row r="20" spans="1:11" x14ac:dyDescent="0.25">
      <c r="A20" s="8" t="s">
        <v>116</v>
      </c>
      <c r="B20" s="8">
        <v>100</v>
      </c>
      <c r="C20" s="8">
        <v>348</v>
      </c>
      <c r="D20" s="8">
        <v>218</v>
      </c>
      <c r="E20" s="8">
        <v>587</v>
      </c>
      <c r="F20" s="8">
        <v>89.648095908390701</v>
      </c>
      <c r="G20" s="8">
        <v>0</v>
      </c>
      <c r="H20" s="8">
        <v>0.38184116171354998</v>
      </c>
      <c r="I20" s="8">
        <v>19.016409534430601</v>
      </c>
      <c r="J20" s="8">
        <v>50997.13</v>
      </c>
      <c r="K20">
        <v>5</v>
      </c>
    </row>
    <row r="21" spans="1:11" x14ac:dyDescent="0.25">
      <c r="A21" s="8" t="s">
        <v>117</v>
      </c>
      <c r="B21" s="8">
        <v>100</v>
      </c>
      <c r="C21" s="8">
        <v>301</v>
      </c>
      <c r="D21" s="8">
        <v>201</v>
      </c>
      <c r="E21" s="8">
        <v>564</v>
      </c>
      <c r="F21" s="8">
        <v>81.763133501597196</v>
      </c>
      <c r="G21" s="8">
        <v>0</v>
      </c>
      <c r="H21" s="8">
        <v>0.381969511193616</v>
      </c>
      <c r="I21" s="8">
        <v>35.482487026166801</v>
      </c>
      <c r="J21" s="8">
        <v>95122.95</v>
      </c>
      <c r="K21">
        <v>5</v>
      </c>
    </row>
    <row r="22" spans="1:11" x14ac:dyDescent="0.25">
      <c r="A22" s="8" t="s">
        <v>118</v>
      </c>
      <c r="B22" s="8">
        <v>100</v>
      </c>
      <c r="C22" s="8">
        <v>583</v>
      </c>
      <c r="D22" s="8">
        <v>411</v>
      </c>
      <c r="E22" s="8">
        <v>1474</v>
      </c>
      <c r="F22" s="8">
        <v>168.844977420117</v>
      </c>
      <c r="G22" s="8">
        <v>0</v>
      </c>
      <c r="H22" s="8">
        <v>0.38170707036006402</v>
      </c>
      <c r="I22" s="8">
        <v>25.335292385230201</v>
      </c>
      <c r="J22" s="8">
        <v>67966.62</v>
      </c>
      <c r="K22">
        <v>5</v>
      </c>
    </row>
    <row r="23" spans="1:11" x14ac:dyDescent="0.25">
      <c r="A23" s="8" t="s">
        <v>115</v>
      </c>
      <c r="B23" s="8">
        <v>100</v>
      </c>
      <c r="C23" s="8">
        <v>336</v>
      </c>
      <c r="D23" s="8">
        <v>217</v>
      </c>
      <c r="E23" s="8">
        <v>714</v>
      </c>
      <c r="F23" s="8">
        <v>87.338593416656295</v>
      </c>
      <c r="G23" s="8">
        <v>0</v>
      </c>
      <c r="H23" s="8">
        <v>0.38200453057373202</v>
      </c>
      <c r="I23" s="8">
        <v>18.5072428357437</v>
      </c>
      <c r="J23" s="8">
        <v>49610.45</v>
      </c>
      <c r="K23">
        <v>5</v>
      </c>
    </row>
    <row r="24" spans="1:11" x14ac:dyDescent="0.25">
      <c r="A24" s="8" t="s">
        <v>20</v>
      </c>
      <c r="B24" s="8">
        <v>575</v>
      </c>
      <c r="C24" s="8">
        <v>363</v>
      </c>
      <c r="D24" s="8">
        <v>148</v>
      </c>
      <c r="E24" s="8">
        <v>1474</v>
      </c>
      <c r="F24" s="8">
        <v>150.721942120823</v>
      </c>
      <c r="G24" s="8">
        <v>0</v>
      </c>
      <c r="H24" s="8">
        <v>2.0201310450225698</v>
      </c>
      <c r="I24" s="8">
        <v>173.677184705851</v>
      </c>
      <c r="J24" s="8">
        <v>88036.584347826094</v>
      </c>
      <c r="K24">
        <v>5</v>
      </c>
    </row>
    <row r="26" spans="1:11" x14ac:dyDescent="0.25">
      <c r="A26" s="8" t="s">
        <v>110</v>
      </c>
      <c r="B26" s="8">
        <v>100</v>
      </c>
      <c r="C26" s="8">
        <v>544</v>
      </c>
      <c r="D26" s="8">
        <v>224</v>
      </c>
      <c r="E26" s="8">
        <v>1472</v>
      </c>
      <c r="F26" s="8">
        <v>284.090767889419</v>
      </c>
      <c r="G26" s="8">
        <v>0</v>
      </c>
      <c r="H26" s="8">
        <v>0.35387206816991501</v>
      </c>
      <c r="I26" s="8">
        <v>74.069024792719404</v>
      </c>
      <c r="J26" s="8">
        <v>214333.62</v>
      </c>
      <c r="K26" s="8">
        <v>10</v>
      </c>
    </row>
    <row r="27" spans="1:11" x14ac:dyDescent="0.25">
      <c r="A27" s="8" t="s">
        <v>111</v>
      </c>
      <c r="B27" s="8">
        <v>50</v>
      </c>
      <c r="C27" s="8">
        <v>710</v>
      </c>
      <c r="D27" s="8">
        <v>347</v>
      </c>
      <c r="E27" s="8">
        <v>1361</v>
      </c>
      <c r="F27" s="8">
        <v>258.19132518347601</v>
      </c>
      <c r="G27" s="8">
        <v>0</v>
      </c>
      <c r="H27" s="8">
        <v>0.192049164586134</v>
      </c>
      <c r="I27" s="8">
        <v>30.951536093239799</v>
      </c>
      <c r="J27" s="8">
        <v>165032.6</v>
      </c>
      <c r="K27" s="8">
        <v>10</v>
      </c>
    </row>
    <row r="28" spans="1:11" x14ac:dyDescent="0.25">
      <c r="A28" s="8" t="s">
        <v>112</v>
      </c>
      <c r="B28" s="8">
        <v>50</v>
      </c>
      <c r="C28" s="8">
        <v>429</v>
      </c>
      <c r="D28" s="8">
        <v>207</v>
      </c>
      <c r="E28" s="8">
        <v>1099</v>
      </c>
      <c r="F28" s="8">
        <v>200.388032576798</v>
      </c>
      <c r="G28" s="8">
        <v>0</v>
      </c>
      <c r="H28" s="8">
        <v>0.19223006093692899</v>
      </c>
      <c r="I28" s="8">
        <v>40.141271073220402</v>
      </c>
      <c r="J28" s="8">
        <v>213830.56</v>
      </c>
      <c r="K28" s="8">
        <v>10</v>
      </c>
    </row>
    <row r="29" spans="1:11" x14ac:dyDescent="0.25">
      <c r="A29" s="8" t="s">
        <v>113</v>
      </c>
      <c r="B29" s="8">
        <v>50</v>
      </c>
      <c r="C29" s="8">
        <v>404</v>
      </c>
      <c r="D29" s="8">
        <v>174</v>
      </c>
      <c r="E29" s="8">
        <v>1096</v>
      </c>
      <c r="F29" s="8">
        <v>182.526026637299</v>
      </c>
      <c r="G29" s="8">
        <v>0</v>
      </c>
      <c r="H29" s="8">
        <v>0.191224332913914</v>
      </c>
      <c r="I29" s="8">
        <v>8.9103181482887308</v>
      </c>
      <c r="J29" s="8">
        <v>47714.46</v>
      </c>
      <c r="K29" s="8">
        <v>10</v>
      </c>
    </row>
    <row r="30" spans="1:11" x14ac:dyDescent="0.25">
      <c r="A30" s="8" t="s">
        <v>114</v>
      </c>
      <c r="B30" s="8">
        <v>50</v>
      </c>
      <c r="C30" s="8">
        <v>468</v>
      </c>
      <c r="D30" s="8">
        <v>179</v>
      </c>
      <c r="E30" s="8">
        <v>1281</v>
      </c>
      <c r="F30" s="8">
        <v>253.51569655545899</v>
      </c>
      <c r="G30" s="8">
        <v>0</v>
      </c>
      <c r="H30" s="8">
        <v>0.18699907622456299</v>
      </c>
      <c r="I30" s="8">
        <v>8.7164834835403404</v>
      </c>
      <c r="J30" s="8">
        <v>47731.14</v>
      </c>
      <c r="K30" s="8">
        <v>10</v>
      </c>
    </row>
    <row r="31" spans="1:11" x14ac:dyDescent="0.25">
      <c r="A31" s="8" t="s">
        <v>119</v>
      </c>
      <c r="B31" s="8">
        <v>50</v>
      </c>
      <c r="C31" s="8">
        <v>633</v>
      </c>
      <c r="D31" s="8">
        <v>294</v>
      </c>
      <c r="E31" s="8">
        <v>3365</v>
      </c>
      <c r="F31" s="8">
        <v>463.44000690488502</v>
      </c>
      <c r="G31" s="8">
        <v>0</v>
      </c>
      <c r="H31" s="8">
        <v>0.186532363365043</v>
      </c>
      <c r="I31" s="8">
        <v>12.218780602965801</v>
      </c>
      <c r="J31" s="8">
        <v>67077</v>
      </c>
      <c r="K31" s="8">
        <v>10</v>
      </c>
    </row>
    <row r="32" spans="1:11" x14ac:dyDescent="0.25">
      <c r="A32" s="8" t="s">
        <v>116</v>
      </c>
      <c r="B32" s="8">
        <v>200</v>
      </c>
      <c r="C32" s="8">
        <v>629</v>
      </c>
      <c r="D32" s="8">
        <v>241</v>
      </c>
      <c r="E32" s="8">
        <v>3316</v>
      </c>
      <c r="F32" s="8">
        <v>319.82774109667201</v>
      </c>
      <c r="G32" s="8">
        <v>0</v>
      </c>
      <c r="H32" s="8">
        <v>0.654296108246748</v>
      </c>
      <c r="I32" s="8">
        <v>32.585051593292803</v>
      </c>
      <c r="J32" s="8">
        <v>50996.93</v>
      </c>
      <c r="K32" s="8">
        <v>10</v>
      </c>
    </row>
    <row r="33" spans="1:11" x14ac:dyDescent="0.25">
      <c r="A33" s="8" t="s">
        <v>117</v>
      </c>
      <c r="B33" s="8">
        <v>200</v>
      </c>
      <c r="C33" s="8">
        <v>551</v>
      </c>
      <c r="D33" s="8">
        <v>219</v>
      </c>
      <c r="E33" s="8">
        <v>3364</v>
      </c>
      <c r="F33" s="8">
        <v>310.10382712891402</v>
      </c>
      <c r="G33" s="8">
        <v>0</v>
      </c>
      <c r="H33" s="8">
        <v>0.65499466179350596</v>
      </c>
      <c r="I33" s="8">
        <v>61.575565224573097</v>
      </c>
      <c r="J33" s="8">
        <v>96265.485000000001</v>
      </c>
      <c r="K33" s="8">
        <v>10</v>
      </c>
    </row>
    <row r="34" spans="1:11" x14ac:dyDescent="0.25">
      <c r="A34" s="8" t="s">
        <v>118</v>
      </c>
      <c r="B34" s="8">
        <v>200</v>
      </c>
      <c r="C34" s="8">
        <v>1069</v>
      </c>
      <c r="D34" s="8">
        <v>415</v>
      </c>
      <c r="E34" s="8">
        <v>3397</v>
      </c>
      <c r="F34" s="8">
        <v>423.26650363571099</v>
      </c>
      <c r="G34" s="8">
        <v>0</v>
      </c>
      <c r="H34" s="8">
        <v>0.65332362058883997</v>
      </c>
      <c r="I34" s="8">
        <v>43.366342721933997</v>
      </c>
      <c r="J34" s="8">
        <v>67971.115000000005</v>
      </c>
      <c r="K34" s="8">
        <v>10</v>
      </c>
    </row>
    <row r="35" spans="1:11" x14ac:dyDescent="0.25">
      <c r="A35" s="8" t="s">
        <v>115</v>
      </c>
      <c r="B35" s="8">
        <v>200</v>
      </c>
      <c r="C35" s="8">
        <v>613</v>
      </c>
      <c r="D35" s="8">
        <v>231</v>
      </c>
      <c r="E35" s="8">
        <v>3366</v>
      </c>
      <c r="F35" s="8">
        <v>318.01462796544399</v>
      </c>
      <c r="G35" s="8">
        <v>0</v>
      </c>
      <c r="H35" s="8">
        <v>0.65382125834439297</v>
      </c>
      <c r="I35" s="8">
        <v>31.6835556444797</v>
      </c>
      <c r="J35" s="8">
        <v>49622.065000000002</v>
      </c>
      <c r="K35" s="8">
        <v>10</v>
      </c>
    </row>
    <row r="36" spans="1:11" x14ac:dyDescent="0.25">
      <c r="A36" s="8" t="s">
        <v>20</v>
      </c>
      <c r="B36" s="8">
        <v>1150</v>
      </c>
      <c r="C36" s="8">
        <v>660</v>
      </c>
      <c r="D36" s="8">
        <v>174</v>
      </c>
      <c r="E36" s="8">
        <v>3397</v>
      </c>
      <c r="F36" s="8">
        <v>385.04474399461998</v>
      </c>
      <c r="G36" s="8">
        <v>0</v>
      </c>
      <c r="H36" s="8">
        <v>3.4851441940528201</v>
      </c>
      <c r="I36" s="8">
        <v>300.314807132309</v>
      </c>
      <c r="J36" s="8">
        <v>88238.06</v>
      </c>
      <c r="K36" s="8">
        <v>10</v>
      </c>
    </row>
    <row r="38" spans="1:11" x14ac:dyDescent="0.25">
      <c r="A38" s="8" t="s">
        <v>110</v>
      </c>
      <c r="B38" s="8">
        <v>119</v>
      </c>
      <c r="C38" s="8">
        <v>1693</v>
      </c>
      <c r="D38" s="8">
        <v>224</v>
      </c>
      <c r="E38" s="8">
        <v>23502</v>
      </c>
      <c r="F38" s="8">
        <v>2118.5265621598001</v>
      </c>
      <c r="G38" s="8">
        <v>0</v>
      </c>
      <c r="H38" s="8">
        <v>0.46428877981787298</v>
      </c>
      <c r="I38" s="8">
        <v>97.773488098698394</v>
      </c>
      <c r="J38" s="8">
        <v>215641.764705882</v>
      </c>
      <c r="K38" s="8">
        <v>20</v>
      </c>
    </row>
    <row r="39" spans="1:11" x14ac:dyDescent="0.25">
      <c r="A39" s="8" t="s">
        <v>111</v>
      </c>
      <c r="B39" s="8">
        <v>60</v>
      </c>
      <c r="C39" s="8">
        <v>2112</v>
      </c>
      <c r="D39" s="8">
        <v>324</v>
      </c>
      <c r="E39" s="8">
        <v>4130</v>
      </c>
      <c r="F39" s="8">
        <v>1029.49132463561</v>
      </c>
      <c r="G39" s="8">
        <v>0</v>
      </c>
      <c r="H39" s="8">
        <v>0.28500448882069801</v>
      </c>
      <c r="I39" s="8">
        <v>45.932977594787701</v>
      </c>
      <c r="J39" s="8">
        <v>165033.78333333301</v>
      </c>
      <c r="K39" s="8">
        <v>20</v>
      </c>
    </row>
    <row r="40" spans="1:11" x14ac:dyDescent="0.25">
      <c r="A40" s="8" t="s">
        <v>112</v>
      </c>
      <c r="B40" s="8">
        <v>60</v>
      </c>
      <c r="C40" s="8">
        <v>1359</v>
      </c>
      <c r="D40" s="8">
        <v>208</v>
      </c>
      <c r="E40" s="8">
        <v>2526</v>
      </c>
      <c r="F40" s="8">
        <v>629.50055246644195</v>
      </c>
      <c r="G40" s="8">
        <v>0</v>
      </c>
      <c r="H40" s="8">
        <v>0.28219225758509198</v>
      </c>
      <c r="I40" s="8">
        <v>58.927080418326497</v>
      </c>
      <c r="J40" s="8">
        <v>213830.56666666601</v>
      </c>
      <c r="K40" s="8">
        <v>20</v>
      </c>
    </row>
    <row r="41" spans="1:11" x14ac:dyDescent="0.25">
      <c r="A41" s="8" t="s">
        <v>113</v>
      </c>
      <c r="B41" s="8">
        <v>60</v>
      </c>
      <c r="C41" s="8">
        <v>1105</v>
      </c>
      <c r="D41" s="8">
        <v>146</v>
      </c>
      <c r="E41" s="8">
        <v>2088</v>
      </c>
      <c r="F41" s="8">
        <v>532.28491117696205</v>
      </c>
      <c r="G41" s="8">
        <v>0</v>
      </c>
      <c r="H41" s="8">
        <v>0.27966160945256202</v>
      </c>
      <c r="I41" s="8">
        <v>13.0311385723274</v>
      </c>
      <c r="J41" s="8">
        <v>47714.400000000001</v>
      </c>
      <c r="K41" s="8">
        <v>20</v>
      </c>
    </row>
    <row r="42" spans="1:11" x14ac:dyDescent="0.25">
      <c r="A42" s="8" t="s">
        <v>114</v>
      </c>
      <c r="B42" s="8">
        <v>60</v>
      </c>
      <c r="C42" s="8">
        <v>1184</v>
      </c>
      <c r="D42" s="8">
        <v>169</v>
      </c>
      <c r="E42" s="8">
        <v>2757</v>
      </c>
      <c r="F42" s="8">
        <v>584.74146708894602</v>
      </c>
      <c r="G42" s="8">
        <v>0</v>
      </c>
      <c r="H42" s="8">
        <v>0.27620494406849799</v>
      </c>
      <c r="I42" s="8">
        <v>12.874634424055101</v>
      </c>
      <c r="J42" s="8">
        <v>47731.3166666666</v>
      </c>
      <c r="K42" s="8">
        <v>20</v>
      </c>
    </row>
    <row r="43" spans="1:11" x14ac:dyDescent="0.25">
      <c r="A43" s="8" t="s">
        <v>119</v>
      </c>
      <c r="B43" s="8">
        <v>60</v>
      </c>
      <c r="C43" s="8">
        <v>2521</v>
      </c>
      <c r="D43" s="8">
        <v>496</v>
      </c>
      <c r="E43" s="8">
        <v>20271</v>
      </c>
      <c r="F43" s="8">
        <v>3145.2273146520401</v>
      </c>
      <c r="G43" s="8">
        <v>0</v>
      </c>
      <c r="H43" s="8">
        <v>0.25270180344853699</v>
      </c>
      <c r="I43" s="8">
        <v>16.170858928165298</v>
      </c>
      <c r="J43" s="8">
        <v>65527.666666666599</v>
      </c>
      <c r="K43" s="8">
        <v>20</v>
      </c>
    </row>
    <row r="44" spans="1:11" x14ac:dyDescent="0.25">
      <c r="A44" s="8" t="s">
        <v>116</v>
      </c>
      <c r="B44" s="8">
        <v>198</v>
      </c>
      <c r="C44" s="8">
        <v>2564</v>
      </c>
      <c r="D44" s="8">
        <v>396</v>
      </c>
      <c r="E44" s="8">
        <v>28366</v>
      </c>
      <c r="F44" s="8">
        <v>3604.6677165022002</v>
      </c>
      <c r="G44" s="8">
        <v>0</v>
      </c>
      <c r="H44" s="8">
        <v>0.58182758509228405</v>
      </c>
      <c r="I44" s="8">
        <v>27.988299558376699</v>
      </c>
      <c r="J44" s="8">
        <v>49258.611111111102</v>
      </c>
      <c r="K44" s="8">
        <v>20</v>
      </c>
    </row>
    <row r="45" spans="1:11" x14ac:dyDescent="0.25">
      <c r="A45" s="8" t="s">
        <v>117</v>
      </c>
      <c r="B45" s="8">
        <v>192</v>
      </c>
      <c r="C45" s="8">
        <v>2134</v>
      </c>
      <c r="D45" s="8">
        <v>18</v>
      </c>
      <c r="E45" s="8">
        <v>23168</v>
      </c>
      <c r="F45" s="8">
        <v>2946.0451137187201</v>
      </c>
      <c r="G45" s="8">
        <v>1.04166666666666E-2</v>
      </c>
      <c r="H45" s="8">
        <v>0.56679301427609896</v>
      </c>
      <c r="I45" s="8">
        <v>51.225567660178001</v>
      </c>
      <c r="J45" s="8">
        <v>92546.979166666599</v>
      </c>
      <c r="K45" s="8">
        <v>20</v>
      </c>
    </row>
    <row r="46" spans="1:11" x14ac:dyDescent="0.25">
      <c r="A46" s="8" t="s">
        <v>118</v>
      </c>
      <c r="B46" s="8">
        <v>183</v>
      </c>
      <c r="C46" s="8">
        <v>3612</v>
      </c>
      <c r="D46" s="8">
        <v>904</v>
      </c>
      <c r="E46" s="8">
        <v>27344</v>
      </c>
      <c r="F46" s="8">
        <v>3610.3953491473299</v>
      </c>
      <c r="G46" s="8">
        <v>1.09289617486338E-2</v>
      </c>
      <c r="H46" s="8">
        <v>0.61309408146445699</v>
      </c>
      <c r="I46" s="8">
        <v>40.130363107482403</v>
      </c>
      <c r="J46" s="8">
        <v>67026.404371584693</v>
      </c>
      <c r="K46" s="8">
        <v>20</v>
      </c>
    </row>
    <row r="47" spans="1:11" x14ac:dyDescent="0.25">
      <c r="A47" s="8" t="s">
        <v>115</v>
      </c>
      <c r="B47" s="8">
        <v>180</v>
      </c>
      <c r="C47" s="8">
        <v>2127</v>
      </c>
      <c r="D47" s="8">
        <v>699</v>
      </c>
      <c r="E47" s="8">
        <v>23370</v>
      </c>
      <c r="F47" s="8">
        <v>2006.78610358841</v>
      </c>
      <c r="G47" s="8">
        <v>0</v>
      </c>
      <c r="H47" s="8">
        <v>0.56372080787455303</v>
      </c>
      <c r="I47" s="8">
        <v>26.794923508175501</v>
      </c>
      <c r="J47" s="8">
        <v>48673.033333333296</v>
      </c>
      <c r="K47" s="8">
        <v>20</v>
      </c>
    </row>
    <row r="48" spans="1:11" x14ac:dyDescent="0.25">
      <c r="A48" s="8" t="s">
        <v>20</v>
      </c>
      <c r="B48" s="8">
        <v>1172</v>
      </c>
      <c r="C48" s="8">
        <v>2269</v>
      </c>
      <c r="D48" s="8">
        <v>18</v>
      </c>
      <c r="E48" s="8">
        <v>28366</v>
      </c>
      <c r="F48" s="8">
        <v>2802.19300006603</v>
      </c>
      <c r="G48" s="8">
        <v>3.4129692832764501E-3</v>
      </c>
      <c r="H48" s="8">
        <v>3.2651878597417898</v>
      </c>
      <c r="I48" s="8">
        <v>290.02886259691701</v>
      </c>
      <c r="J48" s="8">
        <v>90956.345563139897</v>
      </c>
      <c r="K48" s="8">
        <v>20</v>
      </c>
    </row>
  </sheetData>
  <sortState ref="A12:J33">
    <sortCondition ref="A12:A33" customList="[GET] Search a country by name,[GET] Destination Details for Country,[GET] Visit Vacation Details (country),[POST] Search Filters (destination),[GET] Search Results (destination),[GET] Visit Vacation Details (destination),[POST] Search Filters (tours),[GE"/>
  </sortState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C14" sqref="C14"/>
    </sheetView>
  </sheetViews>
  <sheetFormatPr defaultRowHeight="15" x14ac:dyDescent="0.25"/>
  <cols>
    <col min="1" max="1" width="26.42578125" bestFit="1" customWidth="1"/>
    <col min="2" max="6" width="6" customWidth="1"/>
  </cols>
  <sheetData>
    <row r="1" spans="1:6" x14ac:dyDescent="0.25">
      <c r="A1" s="2" t="s">
        <v>2</v>
      </c>
      <c r="B1" s="4">
        <v>1</v>
      </c>
      <c r="C1" s="4">
        <v>5</v>
      </c>
      <c r="D1" s="4">
        <v>10</v>
      </c>
      <c r="E1" s="4">
        <v>20</v>
      </c>
      <c r="F1" s="4">
        <v>50</v>
      </c>
    </row>
    <row r="2" spans="1:6" x14ac:dyDescent="0.25">
      <c r="A2" s="8" t="s">
        <v>110</v>
      </c>
      <c r="B2" s="8">
        <f>SUMIFS('last run'!$C:$C, 'last run'!$A:$A, $A2, 'last run'!$K:$K, B$1)</f>
        <v>275</v>
      </c>
      <c r="C2" s="8">
        <f>SUMIFS('last run'!$C:$C, 'last run'!$A:$A, $A2, 'last run'!$K:$K, C$1)</f>
        <v>305</v>
      </c>
      <c r="D2" s="8">
        <f>SUMIFS('last run'!$C:$C, 'last run'!$A:$A, $A2, 'last run'!$K:$K, D$1)</f>
        <v>544</v>
      </c>
      <c r="E2" s="8">
        <f>SUMIFS('last run'!$C:$C, 'last run'!$A:$A, $A2, 'last run'!$K:$K, E$1)</f>
        <v>1693</v>
      </c>
      <c r="F2" s="8"/>
    </row>
    <row r="3" spans="1:6" x14ac:dyDescent="0.25">
      <c r="A3" s="8" t="s">
        <v>111</v>
      </c>
      <c r="B3" s="8">
        <f>SUMIFS('last run'!$C:$C, 'last run'!$A:$A, $A3, 'last run'!$K:$K, B$1)</f>
        <v>405</v>
      </c>
      <c r="C3" s="8">
        <f>SUMIFS('last run'!$C:$C, 'last run'!$A:$A, $A3, 'last run'!$K:$K, C$1)</f>
        <v>453</v>
      </c>
      <c r="D3" s="8">
        <f>SUMIFS('last run'!$C:$C, 'last run'!$A:$A, $A3, 'last run'!$K:$K, D$1)</f>
        <v>710</v>
      </c>
      <c r="E3" s="8">
        <f>SUMIFS('last run'!$C:$C, 'last run'!$A:$A, $A3, 'last run'!$K:$K, E$1)</f>
        <v>2112</v>
      </c>
      <c r="F3" s="8"/>
    </row>
    <row r="4" spans="1:6" x14ac:dyDescent="0.25">
      <c r="A4" s="8" t="s">
        <v>112</v>
      </c>
      <c r="B4" s="8">
        <f>SUMIFS('last run'!$C:$C, 'last run'!$A:$A, $A4, 'last run'!$K:$K, B$1)</f>
        <v>238</v>
      </c>
      <c r="C4" s="8">
        <f>SUMIFS('last run'!$C:$C, 'last run'!$A:$A, $A4, 'last run'!$K:$K, C$1)</f>
        <v>246</v>
      </c>
      <c r="D4" s="8">
        <f>SUMIFS('last run'!$C:$C, 'last run'!$A:$A, $A4, 'last run'!$K:$K, D$1)</f>
        <v>429</v>
      </c>
      <c r="E4" s="8">
        <f>SUMIFS('last run'!$C:$C, 'last run'!$A:$A, $A4, 'last run'!$K:$K, E$1)</f>
        <v>1359</v>
      </c>
      <c r="F4" s="8"/>
    </row>
    <row r="5" spans="1:6" x14ac:dyDescent="0.25">
      <c r="A5" s="8" t="s">
        <v>113</v>
      </c>
      <c r="B5" s="8">
        <f>SUMIFS('last run'!$C:$C, 'last run'!$A:$A, $A5, 'last run'!$K:$K, B$1)</f>
        <v>180</v>
      </c>
      <c r="C5" s="8">
        <f>SUMIFS('last run'!$C:$C, 'last run'!$A:$A, $A5, 'last run'!$K:$K, C$1)</f>
        <v>212</v>
      </c>
      <c r="D5" s="8">
        <f>SUMIFS('last run'!$C:$C, 'last run'!$A:$A, $A5, 'last run'!$K:$K, D$1)</f>
        <v>404</v>
      </c>
      <c r="E5" s="8">
        <f>SUMIFS('last run'!$C:$C, 'last run'!$A:$A, $A5, 'last run'!$K:$K, E$1)</f>
        <v>1105</v>
      </c>
      <c r="F5" s="8"/>
    </row>
    <row r="6" spans="1:6" x14ac:dyDescent="0.25">
      <c r="A6" s="8" t="s">
        <v>114</v>
      </c>
      <c r="B6" s="8">
        <f>SUMIFS('last run'!$C:$C, 'last run'!$A:$A, $A6, 'last run'!$K:$K, B$1)</f>
        <v>194</v>
      </c>
      <c r="C6" s="8">
        <f>SUMIFS('last run'!$C:$C, 'last run'!$A:$A, $A6, 'last run'!$K:$K, C$1)</f>
        <v>220</v>
      </c>
      <c r="D6" s="8">
        <f>SUMIFS('last run'!$C:$C, 'last run'!$A:$A, $A6, 'last run'!$K:$K, D$1)</f>
        <v>468</v>
      </c>
      <c r="E6" s="8">
        <f>SUMIFS('last run'!$C:$C, 'last run'!$A:$A, $A6, 'last run'!$K:$K, E$1)</f>
        <v>1184</v>
      </c>
      <c r="F6" s="8"/>
    </row>
    <row r="7" spans="1:6" x14ac:dyDescent="0.25">
      <c r="A7" s="8" t="s">
        <v>119</v>
      </c>
      <c r="B7" s="8">
        <f>SUMIFS('last run'!$C:$C, 'last run'!$A:$A, $A7, 'last run'!$K:$K, B$1)</f>
        <v>312</v>
      </c>
      <c r="C7" s="8">
        <f>SUMIFS('last run'!$C:$C, 'last run'!$A:$A, $A7, 'last run'!$K:$K, C$1)</f>
        <v>338</v>
      </c>
      <c r="D7" s="8">
        <f>SUMIFS('last run'!$C:$C, 'last run'!$A:$A, $A7, 'last run'!$K:$K, D$1)</f>
        <v>633</v>
      </c>
      <c r="E7" s="8">
        <f>SUMIFS('last run'!$C:$C, 'last run'!$A:$A, $A7, 'last run'!$K:$K, E$1)</f>
        <v>2521</v>
      </c>
      <c r="F7" s="8"/>
    </row>
    <row r="8" spans="1:6" x14ac:dyDescent="0.25">
      <c r="A8" s="8" t="s">
        <v>116</v>
      </c>
      <c r="B8" s="8">
        <f>SUMIFS('last run'!$C:$C, 'last run'!$A:$A, $A8, 'last run'!$K:$K, B$1)</f>
        <v>305</v>
      </c>
      <c r="C8" s="8">
        <f>SUMIFS('last run'!$C:$C, 'last run'!$A:$A, $A8, 'last run'!$K:$K, C$1)</f>
        <v>348</v>
      </c>
      <c r="D8" s="8">
        <f>SUMIFS('last run'!$C:$C, 'last run'!$A:$A, $A8, 'last run'!$K:$K, D$1)</f>
        <v>629</v>
      </c>
      <c r="E8" s="8">
        <f>SUMIFS('last run'!$C:$C, 'last run'!$A:$A, $A8, 'last run'!$K:$K, E$1)</f>
        <v>2564</v>
      </c>
      <c r="F8" s="8"/>
    </row>
    <row r="9" spans="1:6" x14ac:dyDescent="0.25">
      <c r="A9" s="8" t="s">
        <v>117</v>
      </c>
      <c r="B9" s="8">
        <f>SUMIFS('last run'!$C:$C, 'last run'!$A:$A, $A9, 'last run'!$K:$K, B$1)</f>
        <v>244</v>
      </c>
      <c r="C9" s="8">
        <f>SUMIFS('last run'!$C:$C, 'last run'!$A:$A, $A9, 'last run'!$K:$K, C$1)</f>
        <v>301</v>
      </c>
      <c r="D9" s="8">
        <f>SUMIFS('last run'!$C:$C, 'last run'!$A:$A, $A9, 'last run'!$K:$K, D$1)</f>
        <v>551</v>
      </c>
      <c r="E9" s="8">
        <f>SUMIFS('last run'!$C:$C, 'last run'!$A:$A, $A9, 'last run'!$K:$K, E$1)</f>
        <v>2134</v>
      </c>
      <c r="F9" s="8"/>
    </row>
    <row r="10" spans="1:6" x14ac:dyDescent="0.25">
      <c r="A10" s="8" t="s">
        <v>118</v>
      </c>
      <c r="B10" s="8">
        <f>SUMIFS('last run'!$C:$C, 'last run'!$A:$A, $A10, 'last run'!$K:$K, B$1)</f>
        <v>533</v>
      </c>
      <c r="C10" s="8">
        <f>SUMIFS('last run'!$C:$C, 'last run'!$A:$A, $A10, 'last run'!$K:$K, C$1)</f>
        <v>583</v>
      </c>
      <c r="D10" s="8">
        <f>SUMIFS('last run'!$C:$C, 'last run'!$A:$A, $A10, 'last run'!$K:$K, D$1)</f>
        <v>1069</v>
      </c>
      <c r="E10" s="8">
        <f>SUMIFS('last run'!$C:$C, 'last run'!$A:$A, $A10, 'last run'!$K:$K, E$1)</f>
        <v>3612</v>
      </c>
      <c r="F10" s="8"/>
    </row>
    <row r="11" spans="1:6" x14ac:dyDescent="0.25">
      <c r="A11" s="8" t="s">
        <v>115</v>
      </c>
      <c r="B11" s="8">
        <f>SUMIFS('last run'!$C:$C, 'last run'!$A:$A, $A11, 'last run'!$K:$K, B$1)</f>
        <v>300</v>
      </c>
      <c r="C11" s="8">
        <f>SUMIFS('last run'!$C:$C, 'last run'!$A:$A, $A11, 'last run'!$K:$K, C$1)</f>
        <v>336</v>
      </c>
      <c r="D11" s="8">
        <f>SUMIFS('last run'!$C:$C, 'last run'!$A:$A, $A11, 'last run'!$K:$K, D$1)</f>
        <v>613</v>
      </c>
      <c r="E11" s="8">
        <f>SUMIFS('last run'!$C:$C, 'last run'!$A:$A, $A11, 'last run'!$K:$K, E$1)</f>
        <v>2127</v>
      </c>
      <c r="F11" s="8"/>
    </row>
    <row r="12" spans="1:6" x14ac:dyDescent="0.25">
      <c r="A12" s="8"/>
      <c r="B12" s="8"/>
      <c r="C12" s="8"/>
      <c r="D12" s="8"/>
      <c r="E12" s="8"/>
      <c r="F12" s="8"/>
    </row>
    <row r="13" spans="1:6" x14ac:dyDescent="0.25">
      <c r="A13" s="8"/>
      <c r="B13" s="8"/>
      <c r="C13" s="8"/>
      <c r="D13" s="8"/>
      <c r="E13" s="8"/>
      <c r="F13" s="8"/>
    </row>
    <row r="14" spans="1:6" x14ac:dyDescent="0.25">
      <c r="A14" s="8"/>
      <c r="B14" s="8"/>
      <c r="C14" s="8"/>
      <c r="D14" s="8"/>
      <c r="E14" s="8"/>
      <c r="F14" s="8"/>
    </row>
    <row r="15" spans="1:6" x14ac:dyDescent="0.25">
      <c r="A15" s="8"/>
      <c r="B15" s="8"/>
      <c r="C15" s="8"/>
      <c r="D15" s="8"/>
      <c r="E15" s="8"/>
      <c r="F15" s="8"/>
    </row>
    <row r="16" spans="1:6" x14ac:dyDescent="0.25">
      <c r="A16" s="8"/>
      <c r="B16" s="8"/>
      <c r="C16" s="8"/>
      <c r="D16" s="8"/>
      <c r="E16" s="8"/>
      <c r="F16" s="8"/>
    </row>
    <row r="17" spans="1:6" x14ac:dyDescent="0.25">
      <c r="A17" s="8"/>
      <c r="B17" s="8"/>
      <c r="C17" s="8"/>
      <c r="D17" s="8"/>
      <c r="E17" s="8"/>
      <c r="F17" s="8"/>
    </row>
    <row r="18" spans="1:6" x14ac:dyDescent="0.25">
      <c r="A18" s="8"/>
      <c r="B18" s="8"/>
      <c r="C18" s="8"/>
      <c r="D18" s="8"/>
      <c r="E18" s="8"/>
      <c r="F18" s="8"/>
    </row>
    <row r="19" spans="1:6" x14ac:dyDescent="0.25">
      <c r="A19" s="8"/>
      <c r="B19" s="8"/>
      <c r="C19" s="8"/>
      <c r="D19" s="8"/>
      <c r="E19" s="8"/>
      <c r="F19" s="8"/>
    </row>
    <row r="20" spans="1:6" x14ac:dyDescent="0.25">
      <c r="A20" s="8"/>
      <c r="B20" s="8"/>
      <c r="C20" s="8"/>
      <c r="D20" s="8"/>
      <c r="E20" s="8"/>
      <c r="F20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A21" sqref="A21"/>
    </sheetView>
  </sheetViews>
  <sheetFormatPr defaultRowHeight="15" x14ac:dyDescent="0.25"/>
  <cols>
    <col min="1" max="1" width="27.85546875" bestFit="1" customWidth="1"/>
    <col min="2" max="2" width="7" bestFit="1" customWidth="1"/>
    <col min="3" max="6" width="6.5703125" bestFit="1" customWidth="1"/>
  </cols>
  <sheetData>
    <row r="1" spans="1:6" x14ac:dyDescent="0.25">
      <c r="A1" s="2" t="s">
        <v>2</v>
      </c>
      <c r="B1" s="5" t="s">
        <v>68</v>
      </c>
      <c r="C1" s="5" t="s">
        <v>69</v>
      </c>
      <c r="D1" s="5" t="s">
        <v>70</v>
      </c>
      <c r="E1" s="5" t="s">
        <v>71</v>
      </c>
      <c r="F1" s="5" t="s">
        <v>72</v>
      </c>
    </row>
    <row r="2" spans="1:6" x14ac:dyDescent="0.25">
      <c r="A2" t="s">
        <v>23</v>
      </c>
      <c r="B2">
        <v>17187</v>
      </c>
      <c r="C2">
        <v>10540</v>
      </c>
      <c r="D2" s="8">
        <v>9668</v>
      </c>
      <c r="E2" s="8"/>
    </row>
    <row r="3" spans="1:6" x14ac:dyDescent="0.25">
      <c r="A3" t="s">
        <v>24</v>
      </c>
      <c r="B3">
        <v>4005</v>
      </c>
      <c r="C3">
        <v>3848</v>
      </c>
      <c r="D3" s="8">
        <v>3752</v>
      </c>
      <c r="E3" s="8"/>
    </row>
    <row r="4" spans="1:6" x14ac:dyDescent="0.25">
      <c r="A4" t="s">
        <v>25</v>
      </c>
      <c r="B4">
        <v>5984</v>
      </c>
      <c r="C4">
        <v>5263</v>
      </c>
      <c r="D4" s="8">
        <v>3939</v>
      </c>
      <c r="E4" s="8"/>
    </row>
    <row r="5" spans="1:6" x14ac:dyDescent="0.25">
      <c r="A5" t="s">
        <v>26</v>
      </c>
      <c r="B5">
        <v>6042</v>
      </c>
      <c r="C5">
        <v>4275</v>
      </c>
      <c r="D5" s="8">
        <v>4351</v>
      </c>
      <c r="E5" s="8"/>
    </row>
    <row r="6" spans="1:6" x14ac:dyDescent="0.25">
      <c r="A6" t="s">
        <v>27</v>
      </c>
      <c r="B6">
        <v>6685</v>
      </c>
      <c r="C6">
        <v>5548</v>
      </c>
      <c r="D6" s="8">
        <v>5190</v>
      </c>
      <c r="E6" s="8"/>
    </row>
    <row r="7" spans="1:6" x14ac:dyDescent="0.25">
      <c r="A7" t="s">
        <v>29</v>
      </c>
      <c r="B7">
        <v>6054</v>
      </c>
      <c r="C7">
        <v>5220</v>
      </c>
      <c r="D7" s="8">
        <v>4872</v>
      </c>
      <c r="E7" s="8"/>
    </row>
    <row r="8" spans="1:6" x14ac:dyDescent="0.25">
      <c r="A8" t="s">
        <v>30</v>
      </c>
      <c r="B8">
        <v>4858</v>
      </c>
      <c r="C8">
        <v>4007</v>
      </c>
      <c r="D8" s="8">
        <v>3618</v>
      </c>
      <c r="E8" s="8"/>
    </row>
    <row r="9" spans="1:6" x14ac:dyDescent="0.25">
      <c r="A9" t="s">
        <v>28</v>
      </c>
      <c r="B9">
        <v>15998</v>
      </c>
      <c r="C9">
        <v>14381</v>
      </c>
      <c r="D9" s="8">
        <v>13789</v>
      </c>
      <c r="E9" s="8"/>
    </row>
    <row r="10" spans="1:6" x14ac:dyDescent="0.25">
      <c r="A10" t="s">
        <v>56</v>
      </c>
      <c r="B10">
        <v>4536</v>
      </c>
      <c r="C10">
        <v>3876</v>
      </c>
      <c r="D10" s="8">
        <v>3546</v>
      </c>
      <c r="E10" s="8"/>
    </row>
    <row r="11" spans="1:6" x14ac:dyDescent="0.25">
      <c r="A11" t="s">
        <v>57</v>
      </c>
      <c r="B11">
        <v>4189</v>
      </c>
      <c r="C11">
        <v>4064</v>
      </c>
      <c r="E11" s="8"/>
    </row>
    <row r="12" spans="1:6" x14ac:dyDescent="0.25">
      <c r="A12" t="s">
        <v>59</v>
      </c>
      <c r="B12">
        <v>7222</v>
      </c>
      <c r="C12">
        <v>8054</v>
      </c>
      <c r="E12" s="8"/>
    </row>
    <row r="13" spans="1:6" x14ac:dyDescent="0.25">
      <c r="A13" t="s">
        <v>63</v>
      </c>
      <c r="B13">
        <v>4165</v>
      </c>
      <c r="C13">
        <v>3412</v>
      </c>
      <c r="E13" s="8"/>
    </row>
    <row r="14" spans="1:6" x14ac:dyDescent="0.25">
      <c r="A14" t="s">
        <v>60</v>
      </c>
      <c r="B14">
        <v>2691</v>
      </c>
      <c r="C14">
        <v>2475</v>
      </c>
      <c r="E14" s="8"/>
    </row>
    <row r="15" spans="1:6" x14ac:dyDescent="0.25">
      <c r="A15" t="s">
        <v>64</v>
      </c>
      <c r="B15">
        <v>2910</v>
      </c>
      <c r="C15">
        <v>2721</v>
      </c>
      <c r="E15" s="8"/>
    </row>
    <row r="16" spans="1:6" x14ac:dyDescent="0.25">
      <c r="A16" t="s">
        <v>61</v>
      </c>
      <c r="B16">
        <v>3728</v>
      </c>
      <c r="C16">
        <v>3696</v>
      </c>
      <c r="E16" s="8"/>
    </row>
    <row r="17" spans="1:5" x14ac:dyDescent="0.25">
      <c r="A17" t="s">
        <v>65</v>
      </c>
      <c r="B17">
        <v>2945</v>
      </c>
      <c r="C17">
        <v>1601</v>
      </c>
      <c r="E17" s="8"/>
    </row>
    <row r="18" spans="1:5" x14ac:dyDescent="0.25">
      <c r="A18" t="s">
        <v>62</v>
      </c>
      <c r="B18">
        <v>2642</v>
      </c>
      <c r="C18">
        <v>1939</v>
      </c>
      <c r="E18" s="8"/>
    </row>
    <row r="19" spans="1:5" x14ac:dyDescent="0.25">
      <c r="E19" s="8"/>
    </row>
    <row r="20" spans="1:5" x14ac:dyDescent="0.25">
      <c r="B20">
        <f>SUM(B2:B18)</f>
        <v>101841</v>
      </c>
      <c r="C20">
        <f>SUM(C2:C18)</f>
        <v>84920</v>
      </c>
      <c r="E20" s="8"/>
    </row>
    <row r="21" spans="1:5" x14ac:dyDescent="0.25">
      <c r="A21" t="s">
        <v>73</v>
      </c>
      <c r="C21">
        <f>100-(C20*100/B20)</f>
        <v>16.61511571960213</v>
      </c>
      <c r="E21" s="8"/>
    </row>
    <row r="22" spans="1:5" x14ac:dyDescent="0.25">
      <c r="E22" s="8"/>
    </row>
    <row r="23" spans="1:5" x14ac:dyDescent="0.25">
      <c r="E23" s="8"/>
    </row>
    <row r="24" spans="1:5" x14ac:dyDescent="0.25">
      <c r="E24" s="8"/>
    </row>
    <row r="25" spans="1:5" x14ac:dyDescent="0.25">
      <c r="E25" s="8"/>
    </row>
    <row r="26" spans="1:5" x14ac:dyDescent="0.25">
      <c r="E26" s="8"/>
    </row>
    <row r="27" spans="1:5" x14ac:dyDescent="0.25">
      <c r="E27" s="8"/>
    </row>
    <row r="28" spans="1:5" x14ac:dyDescent="0.25">
      <c r="E28" s="8"/>
    </row>
    <row r="29" spans="1:5" x14ac:dyDescent="0.25">
      <c r="E29" s="8"/>
    </row>
    <row r="30" spans="1:5" x14ac:dyDescent="0.25">
      <c r="E30" s="8"/>
    </row>
    <row r="31" spans="1:5" x14ac:dyDescent="0.25">
      <c r="E31" s="8"/>
    </row>
    <row r="32" spans="1:5" x14ac:dyDescent="0.25">
      <c r="E32" s="8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E23" sqref="E23"/>
    </sheetView>
  </sheetViews>
  <sheetFormatPr defaultRowHeight="15" x14ac:dyDescent="0.25"/>
  <cols>
    <col min="1" max="1" width="26.42578125" bestFit="1" customWidth="1"/>
    <col min="2" max="4" width="10.85546875" customWidth="1"/>
  </cols>
  <sheetData>
    <row r="1" spans="1:6" x14ac:dyDescent="0.25">
      <c r="A1" s="2" t="s">
        <v>7</v>
      </c>
      <c r="B1" s="2">
        <v>1</v>
      </c>
      <c r="C1" s="2">
        <v>10</v>
      </c>
      <c r="D1" s="2">
        <v>100</v>
      </c>
      <c r="E1" s="2">
        <v>500</v>
      </c>
      <c r="F1" s="2">
        <v>1000</v>
      </c>
    </row>
    <row r="2" spans="1:6" x14ac:dyDescent="0.25">
      <c r="A2" t="s">
        <v>23</v>
      </c>
      <c r="B2">
        <v>8.9553655624999406E-3</v>
      </c>
      <c r="C2">
        <v>4.7092020633839701E-2</v>
      </c>
    </row>
    <row r="3" spans="1:6" x14ac:dyDescent="0.25">
      <c r="A3" t="s">
        <v>24</v>
      </c>
      <c r="B3">
        <v>8.9955319192956806E-3</v>
      </c>
      <c r="C3">
        <v>4.7460551975711501E-2</v>
      </c>
    </row>
    <row r="4" spans="1:6" x14ac:dyDescent="0.25">
      <c r="A4" t="s">
        <v>25</v>
      </c>
      <c r="B4">
        <v>8.9879884522324292E-3</v>
      </c>
      <c r="C4">
        <v>4.7458907704763797E-2</v>
      </c>
    </row>
    <row r="5" spans="1:6" x14ac:dyDescent="0.25">
      <c r="A5" t="s">
        <v>26</v>
      </c>
      <c r="B5">
        <v>8.9912209718430898E-3</v>
      </c>
      <c r="C5">
        <v>4.7468211725312799E-2</v>
      </c>
    </row>
    <row r="6" spans="1:6" x14ac:dyDescent="0.25">
      <c r="A6" t="s">
        <v>27</v>
      </c>
      <c r="B6">
        <v>8.9821999743109095E-3</v>
      </c>
      <c r="C6">
        <v>4.73913434971968E-2</v>
      </c>
    </row>
    <row r="7" spans="1:6" x14ac:dyDescent="0.25">
      <c r="A7" t="s">
        <v>28</v>
      </c>
      <c r="B7">
        <v>8.8874116035823295E-3</v>
      </c>
      <c r="C7">
        <v>4.7101957839979502E-2</v>
      </c>
    </row>
    <row r="8" spans="1:6" x14ac:dyDescent="0.25">
      <c r="A8" t="s">
        <v>29</v>
      </c>
      <c r="B8">
        <v>8.9899761765631307E-3</v>
      </c>
      <c r="C8">
        <v>4.7386111036083103E-2</v>
      </c>
    </row>
    <row r="9" spans="1:6" x14ac:dyDescent="0.25">
      <c r="A9" t="s">
        <v>30</v>
      </c>
      <c r="B9">
        <v>8.9961550433344702E-3</v>
      </c>
      <c r="C9">
        <v>4.7388626066303299E-2</v>
      </c>
    </row>
    <row r="10" spans="1:6" x14ac:dyDescent="0.25">
      <c r="A10" t="s">
        <v>31</v>
      </c>
      <c r="B10">
        <v>8.9013349331999309E-3</v>
      </c>
      <c r="C10">
        <v>4.7090224399046303E-2</v>
      </c>
    </row>
    <row r="11" spans="1:6" x14ac:dyDescent="0.25">
      <c r="A11" t="s">
        <v>32</v>
      </c>
      <c r="B11">
        <v>9.01414138500479E-3</v>
      </c>
      <c r="C11">
        <v>4.7355345992364399E-2</v>
      </c>
    </row>
    <row r="12" spans="1:6" x14ac:dyDescent="0.25">
      <c r="A12" t="s">
        <v>33</v>
      </c>
      <c r="B12">
        <v>7.2151764020440597E-3</v>
      </c>
      <c r="C12">
        <v>4.3863287667836599E-2</v>
      </c>
    </row>
    <row r="13" spans="1:6" x14ac:dyDescent="0.25">
      <c r="A13" t="s">
        <v>34</v>
      </c>
      <c r="B13">
        <v>7.2419293223907697E-3</v>
      </c>
      <c r="C13">
        <v>4.3928591210079797E-2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A23" sqref="A23"/>
    </sheetView>
  </sheetViews>
  <sheetFormatPr defaultRowHeight="15" x14ac:dyDescent="0.25"/>
  <cols>
    <col min="1" max="1" width="27.85546875" bestFit="1" customWidth="1"/>
    <col min="2" max="2" width="35.7109375" bestFit="1" customWidth="1"/>
    <col min="3" max="3" width="166" customWidth="1"/>
  </cols>
  <sheetData>
    <row r="1" spans="1:3" x14ac:dyDescent="0.25">
      <c r="A1" t="s">
        <v>47</v>
      </c>
      <c r="B1" t="s">
        <v>48</v>
      </c>
      <c r="C1" t="s">
        <v>83</v>
      </c>
    </row>
    <row r="2" spans="1:3" x14ac:dyDescent="0.25">
      <c r="A2" s="6" t="s">
        <v>23</v>
      </c>
      <c r="B2" s="6" t="s">
        <v>46</v>
      </c>
      <c r="C2" s="6"/>
    </row>
    <row r="3" spans="1:3" x14ac:dyDescent="0.25">
      <c r="A3" s="6" t="s">
        <v>24</v>
      </c>
      <c r="B3" s="6" t="s">
        <v>36</v>
      </c>
      <c r="C3" s="6" t="s">
        <v>46</v>
      </c>
    </row>
    <row r="4" spans="1:3" x14ac:dyDescent="0.25">
      <c r="A4" s="6" t="s">
        <v>25</v>
      </c>
      <c r="B4" s="6" t="s">
        <v>37</v>
      </c>
      <c r="C4" s="6" t="s">
        <v>37</v>
      </c>
    </row>
    <row r="5" spans="1:3" x14ac:dyDescent="0.25">
      <c r="A5" s="6" t="s">
        <v>26</v>
      </c>
      <c r="B5" s="6" t="s">
        <v>38</v>
      </c>
      <c r="C5" s="6" t="s">
        <v>38</v>
      </c>
    </row>
    <row r="6" spans="1:3" x14ac:dyDescent="0.25">
      <c r="A6" s="6" t="s">
        <v>27</v>
      </c>
      <c r="B6" s="6" t="s">
        <v>77</v>
      </c>
      <c r="C6" s="6" t="s">
        <v>77</v>
      </c>
    </row>
    <row r="7" spans="1:3" x14ac:dyDescent="0.25">
      <c r="A7" s="6" t="s">
        <v>29</v>
      </c>
      <c r="B7" s="6" t="s">
        <v>39</v>
      </c>
      <c r="C7" s="6" t="s">
        <v>39</v>
      </c>
    </row>
    <row r="8" spans="1:3" x14ac:dyDescent="0.25">
      <c r="A8" s="6" t="s">
        <v>30</v>
      </c>
      <c r="B8" s="6" t="s">
        <v>40</v>
      </c>
      <c r="C8" s="6" t="s">
        <v>40</v>
      </c>
    </row>
    <row r="9" spans="1:3" x14ac:dyDescent="0.25">
      <c r="A9" s="6" t="s">
        <v>28</v>
      </c>
      <c r="B9" s="6" t="s">
        <v>41</v>
      </c>
      <c r="C9" s="6" t="s">
        <v>41</v>
      </c>
    </row>
    <row r="10" spans="1:3" x14ac:dyDescent="0.25">
      <c r="A10" s="6" t="s">
        <v>56</v>
      </c>
      <c r="B10" s="6" t="s">
        <v>42</v>
      </c>
      <c r="C10" s="6" t="s">
        <v>42</v>
      </c>
    </row>
    <row r="11" spans="1:3" x14ac:dyDescent="0.25">
      <c r="A11" s="6" t="s">
        <v>57</v>
      </c>
      <c r="B11" s="6" t="s">
        <v>43</v>
      </c>
      <c r="C11" s="6" t="s">
        <v>84</v>
      </c>
    </row>
    <row r="12" spans="1:3" ht="30" x14ac:dyDescent="0.25">
      <c r="A12" s="6" t="s">
        <v>59</v>
      </c>
      <c r="B12" s="6" t="s">
        <v>44</v>
      </c>
      <c r="C12" s="7" t="s">
        <v>85</v>
      </c>
    </row>
    <row r="13" spans="1:3" ht="30" x14ac:dyDescent="0.25">
      <c r="A13" s="6" t="s">
        <v>63</v>
      </c>
      <c r="B13" s="6" t="s">
        <v>45</v>
      </c>
      <c r="C13" s="6" t="s">
        <v>86</v>
      </c>
    </row>
    <row r="14" spans="1:3" ht="30" x14ac:dyDescent="0.25">
      <c r="A14" s="6" t="s">
        <v>60</v>
      </c>
      <c r="B14" s="6" t="s">
        <v>78</v>
      </c>
      <c r="C14" s="6" t="s">
        <v>87</v>
      </c>
    </row>
    <row r="15" spans="1:3" ht="30" x14ac:dyDescent="0.25">
      <c r="A15" s="6" t="s">
        <v>64</v>
      </c>
      <c r="B15" s="6" t="s">
        <v>45</v>
      </c>
      <c r="C15" s="6" t="s">
        <v>88</v>
      </c>
    </row>
    <row r="16" spans="1:3" ht="30" x14ac:dyDescent="0.25">
      <c r="A16" s="6" t="s">
        <v>61</v>
      </c>
      <c r="B16" s="6" t="s">
        <v>79</v>
      </c>
      <c r="C16" s="6" t="s">
        <v>89</v>
      </c>
    </row>
    <row r="17" spans="1:3" ht="30" x14ac:dyDescent="0.25">
      <c r="A17" s="6" t="s">
        <v>80</v>
      </c>
      <c r="B17" s="6" t="s">
        <v>45</v>
      </c>
      <c r="C17" s="6" t="s">
        <v>88</v>
      </c>
    </row>
    <row r="18" spans="1:3" x14ac:dyDescent="0.25">
      <c r="A18" s="6" t="s">
        <v>65</v>
      </c>
      <c r="B18" s="6" t="s">
        <v>81</v>
      </c>
      <c r="C18" s="6" t="s">
        <v>90</v>
      </c>
    </row>
    <row r="19" spans="1:3" ht="45" x14ac:dyDescent="0.25">
      <c r="A19" s="6" t="s">
        <v>62</v>
      </c>
      <c r="B19" s="6" t="s">
        <v>82</v>
      </c>
      <c r="C19" s="6" t="s">
        <v>91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selection activeCell="L8" sqref="L8"/>
    </sheetView>
  </sheetViews>
  <sheetFormatPr defaultColWidth="14.28515625" defaultRowHeight="15" x14ac:dyDescent="0.25"/>
  <cols>
    <col min="1" max="1" width="46.28515625" bestFit="1" customWidth="1"/>
    <col min="2" max="2" width="8.42578125" bestFit="1" customWidth="1"/>
    <col min="3" max="3" width="26.42578125" bestFit="1" customWidth="1"/>
    <col min="4" max="4" width="8.42578125" bestFit="1" customWidth="1"/>
    <col min="5" max="5" width="8.7109375" bestFit="1" customWidth="1"/>
    <col min="6" max="6" width="11.5703125" bestFit="1" customWidth="1"/>
    <col min="7" max="7" width="5.28515625" bestFit="1" customWidth="1"/>
    <col min="8" max="10" width="11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10</v>
      </c>
      <c r="C2">
        <v>10433</v>
      </c>
      <c r="D2">
        <v>10131</v>
      </c>
      <c r="E2">
        <v>10762</v>
      </c>
      <c r="F2">
        <v>247.53270490990101</v>
      </c>
      <c r="G2">
        <v>0</v>
      </c>
      <c r="H2">
        <v>6.1064786685433902E-3</v>
      </c>
      <c r="I2">
        <v>6.1451760917620497</v>
      </c>
      <c r="J2">
        <v>1030489.2</v>
      </c>
    </row>
    <row r="3" spans="1:10" x14ac:dyDescent="0.25">
      <c r="A3" t="s">
        <v>11</v>
      </c>
      <c r="B3">
        <v>10</v>
      </c>
      <c r="C3">
        <v>5459</v>
      </c>
      <c r="D3">
        <v>5242</v>
      </c>
      <c r="E3">
        <v>6020</v>
      </c>
      <c r="F3">
        <v>220.01872647571301</v>
      </c>
      <c r="G3">
        <v>0</v>
      </c>
      <c r="H3">
        <v>6.1243700319875798E-3</v>
      </c>
      <c r="I3">
        <v>0.31122206406887198</v>
      </c>
      <c r="J3">
        <v>52036.6</v>
      </c>
    </row>
    <row r="4" spans="1:10" x14ac:dyDescent="0.25">
      <c r="A4" t="s">
        <v>12</v>
      </c>
      <c r="B4">
        <v>10</v>
      </c>
      <c r="C4">
        <v>5778</v>
      </c>
      <c r="D4">
        <v>5597</v>
      </c>
      <c r="E4">
        <v>6109</v>
      </c>
      <c r="F4">
        <v>160.12320256600501</v>
      </c>
      <c r="G4">
        <v>0</v>
      </c>
      <c r="H4">
        <v>6.1227913560880703E-3</v>
      </c>
      <c r="I4">
        <v>0.31572317130590499</v>
      </c>
      <c r="J4">
        <v>52802.8</v>
      </c>
    </row>
    <row r="5" spans="1:10" x14ac:dyDescent="0.25">
      <c r="A5" t="s">
        <v>13</v>
      </c>
      <c r="B5">
        <v>10</v>
      </c>
      <c r="C5">
        <v>5225</v>
      </c>
      <c r="D5">
        <v>5038</v>
      </c>
      <c r="E5">
        <v>5396</v>
      </c>
      <c r="F5">
        <v>108.03684556669</v>
      </c>
      <c r="G5">
        <v>0</v>
      </c>
      <c r="H5">
        <v>6.1260621060176303E-3</v>
      </c>
      <c r="I5">
        <v>0.34883975255303601</v>
      </c>
      <c r="J5">
        <v>58310.2</v>
      </c>
    </row>
    <row r="6" spans="1:10" x14ac:dyDescent="0.25">
      <c r="A6" t="s">
        <v>14</v>
      </c>
      <c r="B6">
        <v>10</v>
      </c>
      <c r="C6">
        <v>6105</v>
      </c>
      <c r="D6">
        <v>5910</v>
      </c>
      <c r="E6">
        <v>6483</v>
      </c>
      <c r="F6">
        <v>174.73834725097399</v>
      </c>
      <c r="G6">
        <v>0</v>
      </c>
      <c r="H6">
        <v>6.1240774842779601E-3</v>
      </c>
      <c r="I6">
        <v>0.320390921682847</v>
      </c>
      <c r="J6">
        <v>53572.2</v>
      </c>
    </row>
    <row r="7" spans="1:10" x14ac:dyDescent="0.25">
      <c r="A7" t="s">
        <v>16</v>
      </c>
      <c r="B7">
        <v>10</v>
      </c>
      <c r="C7">
        <v>5735</v>
      </c>
      <c r="D7">
        <v>5505</v>
      </c>
      <c r="E7">
        <v>6014</v>
      </c>
      <c r="F7">
        <v>165.89457495651101</v>
      </c>
      <c r="G7">
        <v>0</v>
      </c>
      <c r="H7">
        <v>6.1254279377092897E-3</v>
      </c>
      <c r="I7">
        <v>0.31608583987120598</v>
      </c>
      <c r="J7">
        <v>52840.7</v>
      </c>
    </row>
    <row r="8" spans="1:10" x14ac:dyDescent="0.25">
      <c r="A8" t="s">
        <v>17</v>
      </c>
      <c r="B8">
        <v>10</v>
      </c>
      <c r="C8">
        <v>5059</v>
      </c>
      <c r="D8">
        <v>4849</v>
      </c>
      <c r="E8">
        <v>5158</v>
      </c>
      <c r="F8">
        <v>101.58070682957801</v>
      </c>
      <c r="G8">
        <v>0</v>
      </c>
      <c r="H8">
        <v>6.1282958741248001E-3</v>
      </c>
      <c r="I8">
        <v>0.32909427617165299</v>
      </c>
      <c r="J8">
        <v>54989.599999999999</v>
      </c>
    </row>
    <row r="9" spans="1:10" x14ac:dyDescent="0.25">
      <c r="A9" t="s">
        <v>15</v>
      </c>
      <c r="B9">
        <v>10</v>
      </c>
      <c r="C9">
        <v>18160</v>
      </c>
      <c r="D9">
        <v>17843</v>
      </c>
      <c r="E9">
        <v>18669</v>
      </c>
      <c r="F9">
        <v>254.610702838695</v>
      </c>
      <c r="G9">
        <v>0</v>
      </c>
      <c r="H9">
        <v>6.0801103175215998E-3</v>
      </c>
      <c r="I9">
        <v>2.2770963156355499</v>
      </c>
      <c r="J9">
        <v>383504</v>
      </c>
    </row>
    <row r="10" spans="1:10" x14ac:dyDescent="0.25">
      <c r="A10" t="s">
        <v>35</v>
      </c>
      <c r="B10">
        <v>10</v>
      </c>
      <c r="C10">
        <v>5385</v>
      </c>
      <c r="D10">
        <v>5223</v>
      </c>
      <c r="E10">
        <v>5594</v>
      </c>
      <c r="F10">
        <v>106.184791754755</v>
      </c>
      <c r="G10">
        <v>0</v>
      </c>
      <c r="H10">
        <v>6.1285850690507597E-3</v>
      </c>
      <c r="I10">
        <v>0.31841710100459703</v>
      </c>
      <c r="J10">
        <v>53203</v>
      </c>
    </row>
    <row r="11" spans="1:10" x14ac:dyDescent="0.25">
      <c r="A11" t="s">
        <v>22</v>
      </c>
      <c r="B11">
        <v>8</v>
      </c>
      <c r="C11">
        <v>6371</v>
      </c>
      <c r="D11">
        <v>6191</v>
      </c>
      <c r="E11">
        <v>6499</v>
      </c>
      <c r="F11">
        <v>106.869078783341</v>
      </c>
      <c r="G11">
        <v>0</v>
      </c>
      <c r="H11">
        <v>4.9005734896126196E-3</v>
      </c>
      <c r="I11">
        <v>0.28846742489258498</v>
      </c>
      <c r="J11">
        <v>60276.75</v>
      </c>
    </row>
    <row r="12" spans="1:10" x14ac:dyDescent="0.25">
      <c r="A12" t="s">
        <v>21</v>
      </c>
      <c r="B12">
        <v>8</v>
      </c>
      <c r="C12">
        <v>3520</v>
      </c>
      <c r="D12">
        <v>78</v>
      </c>
      <c r="E12">
        <v>4587</v>
      </c>
      <c r="F12">
        <v>1326.3111849694201</v>
      </c>
      <c r="G12">
        <v>0.125</v>
      </c>
      <c r="H12">
        <v>4.9072529198154798E-3</v>
      </c>
      <c r="I12">
        <v>0.26273391398659002</v>
      </c>
      <c r="J12">
        <v>54824.875</v>
      </c>
    </row>
    <row r="13" spans="1:10" x14ac:dyDescent="0.25">
      <c r="A13" t="s">
        <v>19</v>
      </c>
      <c r="B13">
        <v>10</v>
      </c>
      <c r="C13">
        <v>67511</v>
      </c>
      <c r="D13">
        <v>43308</v>
      </c>
      <c r="E13">
        <v>74431</v>
      </c>
      <c r="F13">
        <v>12055.2396745149</v>
      </c>
      <c r="G13">
        <v>0.1</v>
      </c>
      <c r="H13">
        <v>5.8809138469645E-3</v>
      </c>
      <c r="I13">
        <v>3.03687347224884</v>
      </c>
      <c r="J13">
        <v>528788.30000000005</v>
      </c>
    </row>
    <row r="14" spans="1:10" x14ac:dyDescent="0.25">
      <c r="A14" t="s">
        <v>20</v>
      </c>
      <c r="B14">
        <v>12</v>
      </c>
      <c r="C14">
        <v>12603</v>
      </c>
      <c r="D14">
        <v>3853</v>
      </c>
      <c r="E14">
        <v>74030</v>
      </c>
      <c r="F14">
        <v>18882.268186162499</v>
      </c>
      <c r="G14">
        <v>0</v>
      </c>
      <c r="H14">
        <v>6.7673116290610902E-2</v>
      </c>
      <c r="I14">
        <v>13.601481301072001</v>
      </c>
      <c r="J14">
        <v>205811.66666666599</v>
      </c>
    </row>
    <row r="16" spans="1:10" x14ac:dyDescent="0.25">
      <c r="A16" t="s">
        <v>10</v>
      </c>
      <c r="B16">
        <v>100</v>
      </c>
      <c r="C16">
        <v>13357</v>
      </c>
      <c r="D16">
        <v>9913</v>
      </c>
      <c r="E16">
        <v>65791</v>
      </c>
      <c r="F16">
        <v>6568.5739241025503</v>
      </c>
      <c r="G16">
        <v>0</v>
      </c>
      <c r="H16">
        <v>4.7092020633839701E-2</v>
      </c>
      <c r="I16">
        <v>47.392341257654799</v>
      </c>
      <c r="J16">
        <v>1030530.37</v>
      </c>
    </row>
    <row r="17" spans="1:10" x14ac:dyDescent="0.25">
      <c r="A17" t="s">
        <v>11</v>
      </c>
      <c r="B17">
        <v>100</v>
      </c>
      <c r="C17">
        <v>5426</v>
      </c>
      <c r="D17">
        <v>5033</v>
      </c>
      <c r="E17">
        <v>7026</v>
      </c>
      <c r="F17">
        <v>277.90194313821303</v>
      </c>
      <c r="G17">
        <v>0</v>
      </c>
      <c r="H17">
        <v>4.7460551975711501E-2</v>
      </c>
      <c r="I17">
        <v>2.4125459240165998</v>
      </c>
      <c r="J17">
        <v>52052.639999999999</v>
      </c>
    </row>
    <row r="18" spans="1:10" x14ac:dyDescent="0.25">
      <c r="A18" t="s">
        <v>12</v>
      </c>
      <c r="B18">
        <v>100</v>
      </c>
      <c r="C18">
        <v>6261</v>
      </c>
      <c r="D18">
        <v>5250</v>
      </c>
      <c r="E18">
        <v>63779</v>
      </c>
      <c r="F18">
        <v>5784.8744250069904</v>
      </c>
      <c r="G18">
        <v>0</v>
      </c>
      <c r="H18">
        <v>4.7458907704763797E-2</v>
      </c>
      <c r="I18">
        <v>2.4493254917573299</v>
      </c>
      <c r="J18">
        <v>52848.02</v>
      </c>
    </row>
    <row r="19" spans="1:10" x14ac:dyDescent="0.25">
      <c r="A19" t="s">
        <v>13</v>
      </c>
      <c r="B19">
        <v>100</v>
      </c>
      <c r="C19">
        <v>5044</v>
      </c>
      <c r="D19">
        <v>4180</v>
      </c>
      <c r="E19">
        <v>6281</v>
      </c>
      <c r="F19">
        <v>320.69419327452601</v>
      </c>
      <c r="G19">
        <v>0</v>
      </c>
      <c r="H19">
        <v>4.7468211725312799E-2</v>
      </c>
      <c r="I19">
        <v>2.7029572554983599</v>
      </c>
      <c r="J19">
        <v>58309.09</v>
      </c>
    </row>
    <row r="20" spans="1:10" x14ac:dyDescent="0.25">
      <c r="A20" t="s">
        <v>14</v>
      </c>
      <c r="B20">
        <v>100</v>
      </c>
      <c r="C20">
        <v>6029</v>
      </c>
      <c r="D20">
        <v>5422</v>
      </c>
      <c r="E20">
        <v>7809</v>
      </c>
      <c r="F20">
        <v>288.67315427660498</v>
      </c>
      <c r="G20">
        <v>0</v>
      </c>
      <c r="H20">
        <v>4.73913434971968E-2</v>
      </c>
      <c r="I20">
        <v>2.4520790212147299</v>
      </c>
      <c r="J20">
        <v>52982.86</v>
      </c>
    </row>
    <row r="21" spans="1:10" x14ac:dyDescent="0.25">
      <c r="A21" t="s">
        <v>15</v>
      </c>
      <c r="B21">
        <v>100</v>
      </c>
      <c r="C21">
        <v>19976</v>
      </c>
      <c r="D21">
        <v>16779</v>
      </c>
      <c r="E21">
        <v>76059</v>
      </c>
      <c r="F21">
        <v>10146.7846216375</v>
      </c>
      <c r="G21">
        <v>0</v>
      </c>
      <c r="H21">
        <v>4.7101957839979502E-2</v>
      </c>
      <c r="I21">
        <v>17.646981254657199</v>
      </c>
      <c r="J21">
        <v>383646.66</v>
      </c>
    </row>
    <row r="22" spans="1:10" x14ac:dyDescent="0.25">
      <c r="A22" t="s">
        <v>16</v>
      </c>
      <c r="B22">
        <v>100</v>
      </c>
      <c r="C22">
        <v>5981</v>
      </c>
      <c r="D22">
        <v>5374</v>
      </c>
      <c r="E22">
        <v>33483</v>
      </c>
      <c r="F22">
        <v>2772.7210547582999</v>
      </c>
      <c r="G22">
        <v>0</v>
      </c>
      <c r="H22">
        <v>4.7386111036083103E-2</v>
      </c>
      <c r="I22">
        <v>2.44517099322591</v>
      </c>
      <c r="J22">
        <v>52839.43</v>
      </c>
    </row>
    <row r="23" spans="1:10" x14ac:dyDescent="0.25">
      <c r="A23" t="s">
        <v>17</v>
      </c>
      <c r="B23">
        <v>100</v>
      </c>
      <c r="C23">
        <v>4924</v>
      </c>
      <c r="D23">
        <v>4704</v>
      </c>
      <c r="E23">
        <v>5776</v>
      </c>
      <c r="F23">
        <v>209.89262469178499</v>
      </c>
      <c r="G23">
        <v>0</v>
      </c>
      <c r="H23">
        <v>4.7388626066303299E-2</v>
      </c>
      <c r="I23">
        <v>2.5446729616137902</v>
      </c>
      <c r="J23">
        <v>54986.720000000001</v>
      </c>
    </row>
    <row r="24" spans="1:10" x14ac:dyDescent="0.25">
      <c r="A24" t="s">
        <v>18</v>
      </c>
      <c r="B24">
        <v>100</v>
      </c>
      <c r="C24">
        <v>21761</v>
      </c>
      <c r="D24">
        <v>16686</v>
      </c>
      <c r="E24">
        <v>71568</v>
      </c>
      <c r="F24">
        <v>13563.425874328301</v>
      </c>
      <c r="G24">
        <v>0</v>
      </c>
      <c r="H24">
        <v>4.7090224399046303E-2</v>
      </c>
      <c r="I24">
        <v>17.648956239289902</v>
      </c>
      <c r="J24">
        <v>383785.2</v>
      </c>
    </row>
    <row r="25" spans="1:10" x14ac:dyDescent="0.25">
      <c r="A25" t="s">
        <v>35</v>
      </c>
      <c r="B25">
        <v>100</v>
      </c>
      <c r="C25">
        <v>5952</v>
      </c>
      <c r="D25">
        <v>5016</v>
      </c>
      <c r="E25">
        <v>61303</v>
      </c>
      <c r="F25">
        <v>5566.9299996586897</v>
      </c>
      <c r="G25">
        <v>0</v>
      </c>
      <c r="H25">
        <v>4.7355345992364399E-2</v>
      </c>
      <c r="I25">
        <v>2.5010827725868401</v>
      </c>
      <c r="J25">
        <v>54082.78</v>
      </c>
    </row>
    <row r="26" spans="1:10" x14ac:dyDescent="0.25">
      <c r="A26" t="s">
        <v>22</v>
      </c>
      <c r="B26">
        <v>92</v>
      </c>
      <c r="C26">
        <v>6421</v>
      </c>
      <c r="D26">
        <v>5875</v>
      </c>
      <c r="E26">
        <v>7978</v>
      </c>
      <c r="F26">
        <v>386.65076586603601</v>
      </c>
      <c r="G26">
        <v>0</v>
      </c>
      <c r="H26">
        <v>4.3863287667836599E-2</v>
      </c>
      <c r="I26">
        <v>2.5767874975088501</v>
      </c>
      <c r="J26">
        <v>60155.782608695597</v>
      </c>
    </row>
    <row r="27" spans="1:10" x14ac:dyDescent="0.25">
      <c r="A27" t="s">
        <v>21</v>
      </c>
      <c r="B27">
        <v>92</v>
      </c>
      <c r="C27">
        <v>4851</v>
      </c>
      <c r="D27">
        <v>73</v>
      </c>
      <c r="E27">
        <v>63076</v>
      </c>
      <c r="F27">
        <v>10663.7293581209</v>
      </c>
      <c r="G27">
        <v>0.17391304347826</v>
      </c>
      <c r="H27">
        <v>4.3928591210079797E-2</v>
      </c>
      <c r="I27">
        <v>2.23577728299753</v>
      </c>
      <c r="J27">
        <v>52117.217391304301</v>
      </c>
    </row>
    <row r="28" spans="1:10" x14ac:dyDescent="0.25">
      <c r="A28" t="s">
        <v>19</v>
      </c>
      <c r="B28">
        <v>100</v>
      </c>
      <c r="C28">
        <v>76567</v>
      </c>
      <c r="D28">
        <v>42074</v>
      </c>
      <c r="E28">
        <v>133789</v>
      </c>
      <c r="F28">
        <v>19693.894824221501</v>
      </c>
      <c r="G28">
        <v>0.16</v>
      </c>
      <c r="H28">
        <v>4.6219776887892999E-2</v>
      </c>
      <c r="I28">
        <v>24.426029991839801</v>
      </c>
      <c r="J28">
        <v>541159.14</v>
      </c>
    </row>
    <row r="29" spans="1:10" x14ac:dyDescent="0.25">
      <c r="A29" t="s">
        <v>20</v>
      </c>
      <c r="B29">
        <v>1284</v>
      </c>
      <c r="C29">
        <v>14147</v>
      </c>
      <c r="D29">
        <v>73</v>
      </c>
      <c r="E29">
        <v>133789</v>
      </c>
      <c r="F29">
        <v>20742.298093733199</v>
      </c>
      <c r="G29">
        <v>2.4922118380062301E-2</v>
      </c>
      <c r="H29">
        <v>0.55686918084716897</v>
      </c>
      <c r="I29">
        <v>119.458339397209</v>
      </c>
      <c r="J29">
        <v>219666.20482866</v>
      </c>
    </row>
    <row r="32" spans="1:10" x14ac:dyDescent="0.25">
      <c r="A32" t="s">
        <v>10</v>
      </c>
      <c r="B32">
        <v>500</v>
      </c>
      <c r="C32">
        <v>14156</v>
      </c>
      <c r="D32">
        <v>10431</v>
      </c>
      <c r="E32">
        <v>23735</v>
      </c>
      <c r="F32">
        <v>2860.9051063822399</v>
      </c>
      <c r="G32">
        <v>0</v>
      </c>
      <c r="H32">
        <v>0.26855341554290402</v>
      </c>
      <c r="I32">
        <v>270.25464530690101</v>
      </c>
      <c r="J32">
        <v>1030486.826</v>
      </c>
    </row>
    <row r="33" spans="1:10" x14ac:dyDescent="0.25">
      <c r="A33" t="s">
        <v>11</v>
      </c>
      <c r="B33">
        <v>500</v>
      </c>
      <c r="C33">
        <v>5966</v>
      </c>
      <c r="D33">
        <v>5243</v>
      </c>
      <c r="E33">
        <v>7285</v>
      </c>
      <c r="F33">
        <v>358.10634206056199</v>
      </c>
      <c r="G33">
        <v>0</v>
      </c>
      <c r="H33">
        <v>0.26928019250302399</v>
      </c>
      <c r="I33">
        <v>13.684170375664699</v>
      </c>
      <c r="J33">
        <v>52037.212</v>
      </c>
    </row>
    <row r="34" spans="1:10" x14ac:dyDescent="0.25">
      <c r="A34" t="s">
        <v>12</v>
      </c>
      <c r="B34">
        <v>500</v>
      </c>
      <c r="C34">
        <v>6530</v>
      </c>
      <c r="D34">
        <v>5439</v>
      </c>
      <c r="E34">
        <v>10489</v>
      </c>
      <c r="F34">
        <v>743.32848889303102</v>
      </c>
      <c r="G34">
        <v>0</v>
      </c>
      <c r="H34">
        <v>0.269220600975763</v>
      </c>
      <c r="I34">
        <v>13.8811440642174</v>
      </c>
      <c r="J34">
        <v>52797.934000000001</v>
      </c>
    </row>
    <row r="35" spans="1:10" x14ac:dyDescent="0.25">
      <c r="A35" t="s">
        <v>13</v>
      </c>
      <c r="B35">
        <v>500</v>
      </c>
      <c r="C35">
        <v>5954</v>
      </c>
      <c r="D35">
        <v>5049</v>
      </c>
      <c r="E35">
        <v>12530</v>
      </c>
      <c r="F35">
        <v>905.39329470457199</v>
      </c>
      <c r="G35">
        <v>0</v>
      </c>
      <c r="H35">
        <v>0.26917581595265</v>
      </c>
      <c r="I35">
        <v>15.3276947855462</v>
      </c>
      <c r="J35">
        <v>58309.694000000003</v>
      </c>
    </row>
    <row r="36" spans="1:10" x14ac:dyDescent="0.25">
      <c r="A36" t="s">
        <v>14</v>
      </c>
      <c r="B36">
        <v>500</v>
      </c>
      <c r="C36">
        <v>6950</v>
      </c>
      <c r="D36">
        <v>5879</v>
      </c>
      <c r="E36">
        <v>13080</v>
      </c>
      <c r="F36">
        <v>910.09928183467798</v>
      </c>
      <c r="G36">
        <v>0</v>
      </c>
      <c r="H36">
        <v>0.26899262798803703</v>
      </c>
      <c r="I36">
        <v>14.072757025145901</v>
      </c>
      <c r="J36">
        <v>53572.112000000001</v>
      </c>
    </row>
    <row r="37" spans="1:10" x14ac:dyDescent="0.25">
      <c r="A37" t="s">
        <v>16</v>
      </c>
      <c r="B37">
        <v>500</v>
      </c>
      <c r="C37">
        <v>6432</v>
      </c>
      <c r="D37">
        <v>5643</v>
      </c>
      <c r="E37">
        <v>10652</v>
      </c>
      <c r="F37">
        <v>573.69924991758501</v>
      </c>
      <c r="G37">
        <v>0</v>
      </c>
      <c r="H37">
        <v>0.26899494343305302</v>
      </c>
      <c r="I37">
        <v>13.8804989669585</v>
      </c>
      <c r="J37">
        <v>52839.77</v>
      </c>
    </row>
    <row r="38" spans="1:10" x14ac:dyDescent="0.25">
      <c r="A38" t="s">
        <v>17</v>
      </c>
      <c r="B38">
        <v>500</v>
      </c>
      <c r="C38">
        <v>5620</v>
      </c>
      <c r="D38">
        <v>4894</v>
      </c>
      <c r="E38">
        <v>9562</v>
      </c>
      <c r="F38">
        <v>599.46093852393699</v>
      </c>
      <c r="G38">
        <v>0</v>
      </c>
      <c r="H38">
        <v>0.26910439366743499</v>
      </c>
      <c r="I38">
        <v>14.4501285856478</v>
      </c>
      <c r="J38">
        <v>54985.841999999997</v>
      </c>
    </row>
    <row r="39" spans="1:10" x14ac:dyDescent="0.25">
      <c r="A39" t="s">
        <v>15</v>
      </c>
      <c r="B39">
        <v>500</v>
      </c>
      <c r="C39">
        <v>21358</v>
      </c>
      <c r="D39">
        <v>18236</v>
      </c>
      <c r="E39">
        <v>27676</v>
      </c>
      <c r="F39">
        <v>1769.00684865945</v>
      </c>
      <c r="G39">
        <v>0</v>
      </c>
      <c r="H39">
        <v>0.26716309131207</v>
      </c>
      <c r="I39">
        <v>100.055643288482</v>
      </c>
      <c r="J39">
        <v>383499.75</v>
      </c>
    </row>
    <row r="40" spans="1:10" x14ac:dyDescent="0.25">
      <c r="A40" t="s">
        <v>35</v>
      </c>
      <c r="B40">
        <v>500</v>
      </c>
      <c r="C40">
        <v>6166</v>
      </c>
      <c r="D40">
        <v>5301</v>
      </c>
      <c r="E40">
        <v>10077</v>
      </c>
      <c r="F40">
        <v>551.03392903159397</v>
      </c>
      <c r="G40">
        <v>0</v>
      </c>
      <c r="H40">
        <v>0.26916248477886101</v>
      </c>
      <c r="I40">
        <v>14.133184802184401</v>
      </c>
      <c r="J40">
        <v>53768.196000000004</v>
      </c>
    </row>
    <row r="41" spans="1:10" x14ac:dyDescent="0.25">
      <c r="A41" t="s">
        <v>22</v>
      </c>
      <c r="B41">
        <v>465</v>
      </c>
      <c r="C41">
        <v>3051</v>
      </c>
      <c r="D41">
        <v>1661</v>
      </c>
      <c r="E41">
        <v>8933</v>
      </c>
      <c r="F41">
        <v>1370.2322553137201</v>
      </c>
      <c r="G41">
        <v>0</v>
      </c>
      <c r="H41">
        <v>0.25130924007328498</v>
      </c>
      <c r="I41">
        <v>5.0156043320105796</v>
      </c>
      <c r="J41">
        <v>20436.888172043</v>
      </c>
    </row>
    <row r="42" spans="1:10" x14ac:dyDescent="0.25">
      <c r="A42" t="s">
        <v>21</v>
      </c>
      <c r="B42">
        <v>465</v>
      </c>
      <c r="C42">
        <v>1998</v>
      </c>
      <c r="D42">
        <v>74</v>
      </c>
      <c r="E42">
        <v>9743</v>
      </c>
      <c r="F42">
        <v>1393.7006038929901</v>
      </c>
      <c r="G42">
        <v>9.8924731182795697E-2</v>
      </c>
      <c r="H42">
        <v>0.25147246592818401</v>
      </c>
      <c r="I42">
        <v>5.1090199472421496</v>
      </c>
      <c r="J42">
        <v>20804.012903225801</v>
      </c>
    </row>
    <row r="43" spans="1:10" x14ac:dyDescent="0.25">
      <c r="A43" t="s">
        <v>20</v>
      </c>
      <c r="B43">
        <v>5930</v>
      </c>
      <c r="C43">
        <v>13046</v>
      </c>
      <c r="D43">
        <v>74</v>
      </c>
      <c r="E43">
        <v>83528</v>
      </c>
      <c r="F43">
        <v>18409.0793711843</v>
      </c>
      <c r="G43">
        <v>1.55143338954468E-2</v>
      </c>
      <c r="H43">
        <v>2.9291009388929199</v>
      </c>
      <c r="I43">
        <v>556.237768946757</v>
      </c>
      <c r="J43">
        <v>194458.12462057301</v>
      </c>
    </row>
    <row r="46" spans="1:10" x14ac:dyDescent="0.25">
      <c r="A46" t="s">
        <v>10</v>
      </c>
      <c r="B46">
        <v>1000</v>
      </c>
      <c r="C46">
        <v>29537</v>
      </c>
      <c r="D46">
        <v>9694</v>
      </c>
      <c r="E46">
        <v>93017</v>
      </c>
      <c r="F46">
        <v>9405.6472694320692</v>
      </c>
      <c r="G46">
        <v>0</v>
      </c>
      <c r="H46">
        <v>0.36893956806769002</v>
      </c>
      <c r="I46">
        <v>366.08636635189498</v>
      </c>
      <c r="J46">
        <v>1016080.875</v>
      </c>
    </row>
    <row r="47" spans="1:10" x14ac:dyDescent="0.25">
      <c r="A47" t="s">
        <v>11</v>
      </c>
      <c r="B47">
        <v>1000</v>
      </c>
      <c r="C47">
        <v>6217</v>
      </c>
      <c r="D47">
        <v>895</v>
      </c>
      <c r="E47">
        <v>62556</v>
      </c>
      <c r="F47">
        <v>1884.8984714472001</v>
      </c>
      <c r="G47">
        <v>1E-3</v>
      </c>
      <c r="H47">
        <v>0.36956895325137501</v>
      </c>
      <c r="I47">
        <v>23.690992542098499</v>
      </c>
      <c r="J47">
        <v>65642.895999999993</v>
      </c>
    </row>
    <row r="48" spans="1:10" x14ac:dyDescent="0.25">
      <c r="A48" t="s">
        <v>12</v>
      </c>
      <c r="B48">
        <v>1000</v>
      </c>
      <c r="C48">
        <v>9550</v>
      </c>
      <c r="D48">
        <v>3500</v>
      </c>
      <c r="E48">
        <v>64184</v>
      </c>
      <c r="F48">
        <v>3290.02379995707</v>
      </c>
      <c r="G48">
        <v>0</v>
      </c>
      <c r="H48">
        <v>0.36948565749049</v>
      </c>
      <c r="I48">
        <v>18.987250926254301</v>
      </c>
      <c r="J48">
        <v>52621.65</v>
      </c>
    </row>
    <row r="49" spans="1:10" x14ac:dyDescent="0.25">
      <c r="A49" t="s">
        <v>13</v>
      </c>
      <c r="B49">
        <v>1000</v>
      </c>
      <c r="C49">
        <v>11120</v>
      </c>
      <c r="D49">
        <v>162</v>
      </c>
      <c r="E49">
        <v>75572</v>
      </c>
      <c r="F49">
        <v>5245.8273350444897</v>
      </c>
      <c r="G49">
        <v>6.0000000000000001E-3</v>
      </c>
      <c r="H49">
        <v>0.369588895184219</v>
      </c>
      <c r="I49">
        <v>20.928053842010499</v>
      </c>
      <c r="J49">
        <v>57984.228999999999</v>
      </c>
    </row>
    <row r="50" spans="1:10" x14ac:dyDescent="0.25">
      <c r="A50" t="s">
        <v>14</v>
      </c>
      <c r="B50">
        <v>1000</v>
      </c>
      <c r="C50">
        <v>11636</v>
      </c>
      <c r="D50">
        <v>5705</v>
      </c>
      <c r="E50">
        <v>71648</v>
      </c>
      <c r="F50">
        <v>5077.69113578208</v>
      </c>
      <c r="G50">
        <v>0</v>
      </c>
      <c r="H50">
        <v>0.369553520219012</v>
      </c>
      <c r="I50">
        <v>19.344960380166999</v>
      </c>
      <c r="J50">
        <v>53603.167999999998</v>
      </c>
    </row>
    <row r="51" spans="1:10" x14ac:dyDescent="0.25">
      <c r="A51" t="s">
        <v>16</v>
      </c>
      <c r="B51">
        <v>1000</v>
      </c>
      <c r="C51">
        <v>11673</v>
      </c>
      <c r="D51">
        <v>5425</v>
      </c>
      <c r="E51">
        <v>70987</v>
      </c>
      <c r="F51">
        <v>3828.3501152270501</v>
      </c>
      <c r="G51">
        <v>0</v>
      </c>
      <c r="H51">
        <v>0.36960883926931198</v>
      </c>
      <c r="I51">
        <v>19.076011744136</v>
      </c>
      <c r="J51">
        <v>52850.023999999998</v>
      </c>
    </row>
    <row r="52" spans="1:10" x14ac:dyDescent="0.25">
      <c r="A52" t="s">
        <v>17</v>
      </c>
      <c r="B52">
        <v>1000</v>
      </c>
      <c r="C52">
        <v>9730</v>
      </c>
      <c r="D52">
        <v>4721</v>
      </c>
      <c r="E52">
        <v>64327</v>
      </c>
      <c r="F52">
        <v>3819.8885485856799</v>
      </c>
      <c r="G52">
        <v>0</v>
      </c>
      <c r="H52">
        <v>0.36982713540037099</v>
      </c>
      <c r="I52">
        <v>19.862590915644802</v>
      </c>
      <c r="J52">
        <v>54996.756999999998</v>
      </c>
    </row>
    <row r="53" spans="1:10" x14ac:dyDescent="0.25">
      <c r="A53" t="s">
        <v>15</v>
      </c>
      <c r="B53">
        <v>1000</v>
      </c>
      <c r="C53">
        <v>33209</v>
      </c>
      <c r="D53">
        <v>16999</v>
      </c>
      <c r="E53">
        <v>91108</v>
      </c>
      <c r="F53">
        <v>8615.8289544143008</v>
      </c>
      <c r="G53">
        <v>0</v>
      </c>
      <c r="H53">
        <v>0.36822321986166501</v>
      </c>
      <c r="I53">
        <v>137.84962068348</v>
      </c>
      <c r="J53">
        <v>383349.02299999999</v>
      </c>
    </row>
    <row r="54" spans="1:10" x14ac:dyDescent="0.25">
      <c r="A54" t="s">
        <v>35</v>
      </c>
      <c r="B54">
        <v>1000</v>
      </c>
      <c r="C54">
        <v>7566</v>
      </c>
      <c r="D54">
        <v>3504</v>
      </c>
      <c r="E54">
        <v>66624</v>
      </c>
      <c r="F54">
        <v>3919.62097974268</v>
      </c>
      <c r="G54">
        <v>2.5000000000000001E-2</v>
      </c>
      <c r="H54">
        <v>0.370460653003583</v>
      </c>
      <c r="I54">
        <v>19.444990914105102</v>
      </c>
      <c r="J54">
        <v>53748.409</v>
      </c>
    </row>
    <row r="55" spans="1:10" x14ac:dyDescent="0.25">
      <c r="A55" t="s">
        <v>22</v>
      </c>
      <c r="B55">
        <v>902</v>
      </c>
      <c r="C55">
        <v>14524</v>
      </c>
      <c r="D55">
        <v>4707</v>
      </c>
      <c r="E55">
        <v>77474</v>
      </c>
      <c r="F55">
        <v>5018.3672576927702</v>
      </c>
      <c r="G55">
        <v>1.10864745011086E-3</v>
      </c>
      <c r="H55">
        <v>0.33415130015233102</v>
      </c>
      <c r="I55">
        <v>19.593062245566099</v>
      </c>
      <c r="J55">
        <v>60042.548780487799</v>
      </c>
    </row>
    <row r="56" spans="1:10" x14ac:dyDescent="0.25">
      <c r="A56" t="s">
        <v>21</v>
      </c>
      <c r="B56">
        <v>902</v>
      </c>
      <c r="C56">
        <v>10306</v>
      </c>
      <c r="D56">
        <v>1385</v>
      </c>
      <c r="E56">
        <v>68343</v>
      </c>
      <c r="F56">
        <v>5798.0082005541299</v>
      </c>
      <c r="G56">
        <v>3.3259423503325899E-3</v>
      </c>
      <c r="H56">
        <v>0.33526301606623399</v>
      </c>
      <c r="I56">
        <v>20.4214148903054</v>
      </c>
      <c r="J56">
        <v>62373.5033259423</v>
      </c>
    </row>
    <row r="57" spans="1:10" x14ac:dyDescent="0.25">
      <c r="A57" t="s">
        <v>20</v>
      </c>
      <c r="B57">
        <v>11804</v>
      </c>
      <c r="C57">
        <v>21513</v>
      </c>
      <c r="D57">
        <v>162</v>
      </c>
      <c r="E57">
        <v>215908</v>
      </c>
      <c r="F57">
        <v>26701.760224171001</v>
      </c>
      <c r="G57">
        <v>5.42189088444595E-3</v>
      </c>
      <c r="H57">
        <v>4.1029591080547796</v>
      </c>
      <c r="I57">
        <v>831.23468544454397</v>
      </c>
      <c r="J57">
        <v>207456.20306675701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workbookViewId="0">
      <selection sqref="A1:XFD1"/>
    </sheetView>
  </sheetViews>
  <sheetFormatPr defaultRowHeight="15" x14ac:dyDescent="0.25"/>
  <cols>
    <col min="1" max="1" width="48.42578125" bestFit="1" customWidth="1"/>
    <col min="2" max="2" width="8.42578125" bestFit="1" customWidth="1"/>
    <col min="3" max="3" width="26.42578125" bestFit="1" customWidth="1"/>
    <col min="4" max="4" width="8.42578125" bestFit="1" customWidth="1"/>
    <col min="5" max="5" width="8.7109375" bestFit="1" customWidth="1"/>
    <col min="6" max="6" width="8.28515625" bestFit="1" customWidth="1"/>
    <col min="7" max="7" width="5.28515625" bestFit="1" customWidth="1"/>
    <col min="8" max="8" width="11.28515625" bestFit="1" customWidth="1"/>
    <col min="9" max="9" width="7" bestFit="1" customWidth="1"/>
    <col min="10" max="10" width="10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25">
      <c r="A2" t="s">
        <v>10</v>
      </c>
      <c r="B2">
        <v>10</v>
      </c>
      <c r="C2">
        <v>8808</v>
      </c>
      <c r="D2">
        <v>8573</v>
      </c>
      <c r="E2">
        <v>9432</v>
      </c>
      <c r="F2">
        <v>234.09760784766101</v>
      </c>
      <c r="G2">
        <v>0</v>
      </c>
      <c r="H2">
        <v>1.13945570479893E-2</v>
      </c>
      <c r="I2">
        <v>11.485938279814899</v>
      </c>
      <c r="J2">
        <v>1032212.2</v>
      </c>
      <c r="L2">
        <v>1</v>
      </c>
    </row>
    <row r="3" spans="1:12" x14ac:dyDescent="0.25">
      <c r="A3" t="s">
        <v>11</v>
      </c>
      <c r="B3">
        <v>10</v>
      </c>
      <c r="C3">
        <v>3588</v>
      </c>
      <c r="D3">
        <v>3379</v>
      </c>
      <c r="E3">
        <v>3832</v>
      </c>
      <c r="F3">
        <v>139.04118095010199</v>
      </c>
      <c r="G3">
        <v>0</v>
      </c>
      <c r="H3">
        <v>1.14635253550253E-2</v>
      </c>
      <c r="I3">
        <v>0.58335126598875198</v>
      </c>
      <c r="J3">
        <v>52108.9</v>
      </c>
    </row>
    <row r="4" spans="1:12" x14ac:dyDescent="0.25">
      <c r="A4" t="s">
        <v>12</v>
      </c>
      <c r="B4">
        <v>10</v>
      </c>
      <c r="C4">
        <v>4250</v>
      </c>
      <c r="D4">
        <v>4130</v>
      </c>
      <c r="E4">
        <v>4503</v>
      </c>
      <c r="F4">
        <v>114.304855539917</v>
      </c>
      <c r="G4">
        <v>0</v>
      </c>
      <c r="H4">
        <v>1.1456919119879399E-2</v>
      </c>
      <c r="I4">
        <v>0.59353889731449805</v>
      </c>
      <c r="J4">
        <v>53049.5</v>
      </c>
    </row>
    <row r="5" spans="1:12" x14ac:dyDescent="0.25">
      <c r="A5" t="s">
        <v>13</v>
      </c>
      <c r="B5">
        <v>10</v>
      </c>
      <c r="C5">
        <v>3565</v>
      </c>
      <c r="D5">
        <v>3447</v>
      </c>
      <c r="E5">
        <v>3688</v>
      </c>
      <c r="F5">
        <v>70.792654986231597</v>
      </c>
      <c r="G5">
        <v>0</v>
      </c>
      <c r="H5">
        <v>1.14657729478846E-2</v>
      </c>
      <c r="I5">
        <v>0.65546263283097905</v>
      </c>
      <c r="J5">
        <v>58538.9</v>
      </c>
    </row>
    <row r="6" spans="1:12" x14ac:dyDescent="0.25">
      <c r="A6" t="s">
        <v>14</v>
      </c>
      <c r="B6">
        <v>10</v>
      </c>
      <c r="C6">
        <v>4208</v>
      </c>
      <c r="D6">
        <v>4099</v>
      </c>
      <c r="E6">
        <v>4313</v>
      </c>
      <c r="F6">
        <v>64.768510867528505</v>
      </c>
      <c r="G6">
        <v>0</v>
      </c>
      <c r="H6">
        <v>1.1458153106133399E-2</v>
      </c>
      <c r="I6">
        <v>0.60165933929711102</v>
      </c>
      <c r="J6">
        <v>53769.5</v>
      </c>
    </row>
    <row r="7" spans="1:12" x14ac:dyDescent="0.25">
      <c r="A7" t="s">
        <v>16</v>
      </c>
      <c r="B7">
        <v>10</v>
      </c>
      <c r="C7">
        <v>4161</v>
      </c>
      <c r="D7">
        <v>4066</v>
      </c>
      <c r="E7">
        <v>4329</v>
      </c>
      <c r="F7">
        <v>71.022250034734995</v>
      </c>
      <c r="G7">
        <v>0</v>
      </c>
      <c r="H7">
        <v>1.14592297793296E-2</v>
      </c>
      <c r="I7">
        <v>0.593003950426226</v>
      </c>
      <c r="J7">
        <v>52991</v>
      </c>
    </row>
    <row r="8" spans="1:12" x14ac:dyDescent="0.25">
      <c r="A8" t="s">
        <v>17</v>
      </c>
      <c r="B8">
        <v>10</v>
      </c>
      <c r="C8">
        <v>3369</v>
      </c>
      <c r="D8">
        <v>3271</v>
      </c>
      <c r="E8">
        <v>3426</v>
      </c>
      <c r="F8">
        <v>51.5151434046209</v>
      </c>
      <c r="G8">
        <v>0</v>
      </c>
      <c r="H8">
        <v>1.14706918088936E-2</v>
      </c>
      <c r="I8">
        <v>0.61672443354856099</v>
      </c>
      <c r="J8">
        <v>55055.6</v>
      </c>
    </row>
    <row r="9" spans="1:12" x14ac:dyDescent="0.25">
      <c r="A9" t="s">
        <v>15</v>
      </c>
      <c r="B9">
        <v>10</v>
      </c>
      <c r="C9">
        <v>11882</v>
      </c>
      <c r="D9">
        <v>11446</v>
      </c>
      <c r="E9">
        <v>12174</v>
      </c>
      <c r="F9">
        <v>218.116138788504</v>
      </c>
      <c r="G9">
        <v>0</v>
      </c>
      <c r="H9">
        <v>1.13637913244271E-2</v>
      </c>
      <c r="I9">
        <v>4.26153272118483</v>
      </c>
      <c r="J9">
        <v>384010</v>
      </c>
    </row>
    <row r="10" spans="1:12" x14ac:dyDescent="0.25">
      <c r="A10" t="s">
        <v>49</v>
      </c>
      <c r="B10">
        <v>10</v>
      </c>
      <c r="C10">
        <v>3369</v>
      </c>
      <c r="D10">
        <v>3257</v>
      </c>
      <c r="E10">
        <v>3427</v>
      </c>
      <c r="F10">
        <v>52.3282906275372</v>
      </c>
      <c r="G10">
        <v>0</v>
      </c>
      <c r="H10">
        <v>1.14770636621244E-2</v>
      </c>
      <c r="I10">
        <v>0.61706701773091499</v>
      </c>
      <c r="J10">
        <v>55055.6</v>
      </c>
    </row>
    <row r="11" spans="1:12" x14ac:dyDescent="0.25">
      <c r="A11" t="s">
        <v>35</v>
      </c>
      <c r="B11">
        <v>10</v>
      </c>
      <c r="C11">
        <v>3481</v>
      </c>
      <c r="D11">
        <v>3336</v>
      </c>
      <c r="E11">
        <v>3580</v>
      </c>
      <c r="F11">
        <v>79.941478595274504</v>
      </c>
      <c r="G11">
        <v>0</v>
      </c>
      <c r="H11">
        <v>1.14776432725515E-2</v>
      </c>
      <c r="I11">
        <v>0.59745280428953895</v>
      </c>
      <c r="J11">
        <v>53302.9</v>
      </c>
    </row>
    <row r="12" spans="1:12" x14ac:dyDescent="0.25">
      <c r="A12" t="s">
        <v>50</v>
      </c>
      <c r="B12">
        <v>10</v>
      </c>
      <c r="C12">
        <v>5832</v>
      </c>
      <c r="D12">
        <v>66</v>
      </c>
      <c r="E12">
        <v>7252</v>
      </c>
      <c r="F12">
        <v>1943.55000192945</v>
      </c>
      <c r="G12">
        <v>0</v>
      </c>
      <c r="H12">
        <v>1.1441189426052699E-2</v>
      </c>
      <c r="I12">
        <v>0.61466784618178905</v>
      </c>
      <c r="J12">
        <v>55013.5</v>
      </c>
    </row>
    <row r="13" spans="1:12" x14ac:dyDescent="0.25">
      <c r="A13" t="s">
        <v>51</v>
      </c>
      <c r="B13">
        <v>9</v>
      </c>
      <c r="C13">
        <v>2641</v>
      </c>
      <c r="D13">
        <v>2433</v>
      </c>
      <c r="E13">
        <v>2977</v>
      </c>
      <c r="F13">
        <v>168.299189789938</v>
      </c>
      <c r="G13">
        <v>0</v>
      </c>
      <c r="H13">
        <v>1.03437694304835E-2</v>
      </c>
      <c r="I13">
        <v>0.627508543666222</v>
      </c>
      <c r="J13">
        <v>62121.333333333299</v>
      </c>
    </row>
    <row r="14" spans="1:12" x14ac:dyDescent="0.25">
      <c r="A14" t="s">
        <v>52</v>
      </c>
      <c r="B14">
        <v>10</v>
      </c>
      <c r="C14">
        <v>2016</v>
      </c>
      <c r="D14">
        <v>1886</v>
      </c>
      <c r="E14">
        <v>2095</v>
      </c>
      <c r="F14">
        <v>56.601766756875797</v>
      </c>
      <c r="G14">
        <v>0</v>
      </c>
      <c r="H14">
        <v>1.1500055775270499E-2</v>
      </c>
      <c r="I14">
        <v>0.66697178950067904</v>
      </c>
      <c r="J14">
        <v>59389.2</v>
      </c>
    </row>
    <row r="15" spans="1:12" x14ac:dyDescent="0.25">
      <c r="A15" t="s">
        <v>53</v>
      </c>
      <c r="B15">
        <v>10</v>
      </c>
      <c r="C15">
        <v>2158</v>
      </c>
      <c r="D15">
        <v>2058</v>
      </c>
      <c r="E15">
        <v>2359</v>
      </c>
      <c r="F15">
        <v>77.855314526371203</v>
      </c>
      <c r="G15">
        <v>0</v>
      </c>
      <c r="H15">
        <v>1.1499037530558601E-2</v>
      </c>
      <c r="I15">
        <v>0.68477666856784003</v>
      </c>
      <c r="J15">
        <v>60980</v>
      </c>
    </row>
    <row r="16" spans="1:12" x14ac:dyDescent="0.25">
      <c r="A16" t="s">
        <v>54</v>
      </c>
      <c r="B16">
        <v>10</v>
      </c>
      <c r="C16">
        <v>2699</v>
      </c>
      <c r="D16">
        <v>2619</v>
      </c>
      <c r="E16">
        <v>2876</v>
      </c>
      <c r="F16">
        <v>88.614276502148797</v>
      </c>
      <c r="G16">
        <v>0</v>
      </c>
      <c r="H16">
        <v>1.14924431440106E-2</v>
      </c>
      <c r="I16">
        <v>0.595978573273519</v>
      </c>
      <c r="J16">
        <v>53102.9</v>
      </c>
    </row>
    <row r="17" spans="1:12" x14ac:dyDescent="0.25">
      <c r="A17" t="s">
        <v>58</v>
      </c>
      <c r="B17">
        <v>10</v>
      </c>
      <c r="C17">
        <v>1569</v>
      </c>
      <c r="D17">
        <v>0</v>
      </c>
      <c r="E17">
        <v>2422</v>
      </c>
      <c r="F17">
        <v>1030.69886969958</v>
      </c>
      <c r="G17">
        <v>0.3</v>
      </c>
      <c r="H17">
        <v>1.15287862263285E-2</v>
      </c>
      <c r="I17">
        <v>0.43827401388526999</v>
      </c>
      <c r="J17">
        <v>38928</v>
      </c>
    </row>
    <row r="18" spans="1:12" x14ac:dyDescent="0.25">
      <c r="A18" t="s">
        <v>55</v>
      </c>
      <c r="B18">
        <v>10</v>
      </c>
      <c r="C18">
        <v>1968</v>
      </c>
      <c r="D18">
        <v>1793</v>
      </c>
      <c r="E18">
        <v>2438</v>
      </c>
      <c r="F18">
        <v>203.096922674864</v>
      </c>
      <c r="G18">
        <v>0</v>
      </c>
      <c r="H18">
        <v>1.15381642088453E-2</v>
      </c>
      <c r="I18">
        <v>0.64318955530761301</v>
      </c>
      <c r="J18">
        <v>57082.400000000001</v>
      </c>
    </row>
    <row r="19" spans="1:12" x14ac:dyDescent="0.25">
      <c r="A19" t="s">
        <v>20</v>
      </c>
      <c r="B19">
        <v>309</v>
      </c>
      <c r="C19">
        <v>3577</v>
      </c>
      <c r="D19">
        <v>0</v>
      </c>
      <c r="E19">
        <v>13245</v>
      </c>
      <c r="F19">
        <v>3277.8526894742299</v>
      </c>
      <c r="G19">
        <v>1.94174757281553E-2</v>
      </c>
      <c r="H19">
        <v>0.32121984535707299</v>
      </c>
      <c r="I19">
        <v>27.343352048634099</v>
      </c>
      <c r="J19">
        <v>87166.446601941701</v>
      </c>
    </row>
    <row r="21" spans="1:12" x14ac:dyDescent="0.25">
      <c r="A21" t="s">
        <v>10</v>
      </c>
      <c r="B21">
        <v>30</v>
      </c>
      <c r="C21">
        <v>10856</v>
      </c>
      <c r="D21">
        <v>8711</v>
      </c>
      <c r="E21">
        <v>12739</v>
      </c>
      <c r="F21">
        <v>946.38668923201999</v>
      </c>
      <c r="G21">
        <v>0</v>
      </c>
      <c r="H21">
        <v>4.4190236020050497E-2</v>
      </c>
      <c r="I21">
        <v>44.544508796987103</v>
      </c>
      <c r="J21">
        <v>1032209.4</v>
      </c>
      <c r="L21">
        <v>10</v>
      </c>
    </row>
    <row r="22" spans="1:12" x14ac:dyDescent="0.25">
      <c r="A22" t="s">
        <v>11</v>
      </c>
      <c r="B22">
        <v>30</v>
      </c>
      <c r="C22">
        <v>3574</v>
      </c>
      <c r="D22">
        <v>3395</v>
      </c>
      <c r="E22">
        <v>3862</v>
      </c>
      <c r="F22">
        <v>107.952685108897</v>
      </c>
      <c r="G22">
        <v>0</v>
      </c>
      <c r="H22">
        <v>4.46223388352677E-2</v>
      </c>
      <c r="I22">
        <v>2.2707599388822701</v>
      </c>
      <c r="J22">
        <v>52109.733333333301</v>
      </c>
    </row>
    <row r="23" spans="1:12" x14ac:dyDescent="0.25">
      <c r="A23" t="s">
        <v>12</v>
      </c>
      <c r="B23">
        <v>30</v>
      </c>
      <c r="C23">
        <v>4253</v>
      </c>
      <c r="D23">
        <v>4006</v>
      </c>
      <c r="E23">
        <v>4612</v>
      </c>
      <c r="F23">
        <v>134.98431596137601</v>
      </c>
      <c r="G23">
        <v>0</v>
      </c>
      <c r="H23">
        <v>4.4576787974965601E-2</v>
      </c>
      <c r="I23">
        <v>2.30939249871098</v>
      </c>
      <c r="J23">
        <v>53050.433333333298</v>
      </c>
    </row>
    <row r="24" spans="1:12" x14ac:dyDescent="0.25">
      <c r="A24" t="s">
        <v>13</v>
      </c>
      <c r="B24">
        <v>30</v>
      </c>
      <c r="C24">
        <v>3609</v>
      </c>
      <c r="D24">
        <v>3457</v>
      </c>
      <c r="E24">
        <v>3910</v>
      </c>
      <c r="F24">
        <v>97.190534518542407</v>
      </c>
      <c r="G24">
        <v>0</v>
      </c>
      <c r="H24">
        <v>4.4627516434082901E-2</v>
      </c>
      <c r="I24">
        <v>2.5512295996465499</v>
      </c>
      <c r="J24">
        <v>58539.199999999997</v>
      </c>
    </row>
    <row r="25" spans="1:12" x14ac:dyDescent="0.25">
      <c r="A25" t="s">
        <v>14</v>
      </c>
      <c r="B25">
        <v>30</v>
      </c>
      <c r="C25">
        <v>4238</v>
      </c>
      <c r="D25">
        <v>4051</v>
      </c>
      <c r="E25">
        <v>4472</v>
      </c>
      <c r="F25">
        <v>88.127968823107295</v>
      </c>
      <c r="G25">
        <v>0</v>
      </c>
      <c r="H25">
        <v>4.4589310158782501E-2</v>
      </c>
      <c r="I25">
        <v>2.3413887405675</v>
      </c>
      <c r="J25">
        <v>53770.333333333299</v>
      </c>
    </row>
    <row r="26" spans="1:12" x14ac:dyDescent="0.25">
      <c r="A26" t="s">
        <v>16</v>
      </c>
      <c r="B26">
        <v>30</v>
      </c>
      <c r="C26">
        <v>4181</v>
      </c>
      <c r="D26">
        <v>3959</v>
      </c>
      <c r="E26">
        <v>4906</v>
      </c>
      <c r="F26">
        <v>169.2691118374</v>
      </c>
      <c r="G26">
        <v>0</v>
      </c>
      <c r="H26">
        <v>4.4605685738075398E-2</v>
      </c>
      <c r="I26">
        <v>2.3083514969853902</v>
      </c>
      <c r="J26">
        <v>52992.166666666599</v>
      </c>
    </row>
    <row r="27" spans="1:12" x14ac:dyDescent="0.25">
      <c r="A27" t="s">
        <v>17</v>
      </c>
      <c r="B27">
        <v>30</v>
      </c>
      <c r="C27">
        <v>3389</v>
      </c>
      <c r="D27">
        <v>3240</v>
      </c>
      <c r="E27">
        <v>3583</v>
      </c>
      <c r="F27">
        <v>69.702893292417201</v>
      </c>
      <c r="G27">
        <v>0</v>
      </c>
      <c r="H27">
        <v>4.4651295706182502E-2</v>
      </c>
      <c r="I27">
        <v>2.4007193556297</v>
      </c>
      <c r="J27">
        <v>55056.333333333299</v>
      </c>
    </row>
    <row r="28" spans="1:12" x14ac:dyDescent="0.25">
      <c r="A28" t="s">
        <v>15</v>
      </c>
      <c r="B28">
        <v>30</v>
      </c>
      <c r="C28">
        <v>12177</v>
      </c>
      <c r="D28">
        <v>11768</v>
      </c>
      <c r="E28">
        <v>12594</v>
      </c>
      <c r="F28">
        <v>194.979885002392</v>
      </c>
      <c r="G28">
        <v>0</v>
      </c>
      <c r="H28">
        <v>4.4085296231148E-2</v>
      </c>
      <c r="I28">
        <v>16.532761023528298</v>
      </c>
      <c r="J28">
        <v>384018</v>
      </c>
    </row>
    <row r="29" spans="1:12" x14ac:dyDescent="0.25">
      <c r="A29" t="s">
        <v>49</v>
      </c>
      <c r="B29">
        <v>30</v>
      </c>
      <c r="C29">
        <v>3367</v>
      </c>
      <c r="D29">
        <v>3241</v>
      </c>
      <c r="E29">
        <v>3517</v>
      </c>
      <c r="F29">
        <v>74.857969218755301</v>
      </c>
      <c r="G29">
        <v>0</v>
      </c>
      <c r="H29">
        <v>4.4677229356513803E-2</v>
      </c>
      <c r="I29">
        <v>2.4021137029902402</v>
      </c>
      <c r="J29">
        <v>55056.333333333299</v>
      </c>
    </row>
    <row r="30" spans="1:12" x14ac:dyDescent="0.25">
      <c r="A30" t="s">
        <v>35</v>
      </c>
      <c r="B30">
        <v>30</v>
      </c>
      <c r="C30">
        <v>3547</v>
      </c>
      <c r="D30">
        <v>3381</v>
      </c>
      <c r="E30">
        <v>3720</v>
      </c>
      <c r="F30">
        <v>75.524249233074997</v>
      </c>
      <c r="G30">
        <v>0</v>
      </c>
      <c r="H30">
        <v>4.46658547406849E-2</v>
      </c>
      <c r="I30">
        <v>2.34426819370539</v>
      </c>
      <c r="J30">
        <v>53744.2</v>
      </c>
    </row>
    <row r="31" spans="1:12" x14ac:dyDescent="0.25">
      <c r="A31" t="s">
        <v>50</v>
      </c>
      <c r="B31">
        <v>30</v>
      </c>
      <c r="C31">
        <v>7014</v>
      </c>
      <c r="D31">
        <v>6051</v>
      </c>
      <c r="E31">
        <v>8472</v>
      </c>
      <c r="F31">
        <v>543.30809859600299</v>
      </c>
      <c r="G31">
        <v>0</v>
      </c>
      <c r="H31">
        <v>4.4407405378920899E-2</v>
      </c>
      <c r="I31">
        <v>2.6446604767060902</v>
      </c>
      <c r="J31">
        <v>60983.8</v>
      </c>
    </row>
    <row r="32" spans="1:12" x14ac:dyDescent="0.25">
      <c r="A32" t="s">
        <v>51</v>
      </c>
      <c r="B32">
        <v>30</v>
      </c>
      <c r="C32">
        <v>2671</v>
      </c>
      <c r="D32">
        <v>2400</v>
      </c>
      <c r="E32">
        <v>3415</v>
      </c>
      <c r="F32">
        <v>265.43304031127798</v>
      </c>
      <c r="G32">
        <v>0</v>
      </c>
      <c r="H32">
        <v>4.4634156139205003E-2</v>
      </c>
      <c r="I32">
        <v>2.7141257386952802</v>
      </c>
      <c r="J32">
        <v>62267.666666666599</v>
      </c>
    </row>
    <row r="33" spans="1:10" x14ac:dyDescent="0.25">
      <c r="A33" t="s">
        <v>52</v>
      </c>
      <c r="B33">
        <v>30</v>
      </c>
      <c r="C33">
        <v>2054</v>
      </c>
      <c r="D33">
        <v>1839</v>
      </c>
      <c r="E33">
        <v>4414</v>
      </c>
      <c r="F33">
        <v>444.76651052983698</v>
      </c>
      <c r="G33">
        <v>0</v>
      </c>
      <c r="H33">
        <v>4.47057911881905E-2</v>
      </c>
      <c r="I33">
        <v>2.5928354755168699</v>
      </c>
      <c r="J33">
        <v>59389.7</v>
      </c>
    </row>
    <row r="34" spans="1:10" x14ac:dyDescent="0.25">
      <c r="A34" t="s">
        <v>53</v>
      </c>
      <c r="B34">
        <v>30</v>
      </c>
      <c r="C34">
        <v>2174</v>
      </c>
      <c r="D34">
        <v>2025</v>
      </c>
      <c r="E34">
        <v>2556</v>
      </c>
      <c r="F34">
        <v>136.62477406710499</v>
      </c>
      <c r="G34">
        <v>0</v>
      </c>
      <c r="H34">
        <v>4.4701994155959199E-2</v>
      </c>
      <c r="I34">
        <v>2.6496073884387199</v>
      </c>
      <c r="J34">
        <v>60695.233333333301</v>
      </c>
    </row>
    <row r="35" spans="1:10" x14ac:dyDescent="0.25">
      <c r="A35" t="s">
        <v>54</v>
      </c>
      <c r="B35">
        <v>30</v>
      </c>
      <c r="C35">
        <v>2750</v>
      </c>
      <c r="D35">
        <v>2556</v>
      </c>
      <c r="E35">
        <v>3008</v>
      </c>
      <c r="F35">
        <v>112.74216405389799</v>
      </c>
      <c r="G35">
        <v>0</v>
      </c>
      <c r="H35">
        <v>4.4649102701865999E-2</v>
      </c>
      <c r="I35">
        <v>2.3154411317394099</v>
      </c>
      <c r="J35">
        <v>53103.233333333301</v>
      </c>
    </row>
    <row r="36" spans="1:10" x14ac:dyDescent="0.25">
      <c r="A36" t="s">
        <v>58</v>
      </c>
      <c r="B36">
        <v>30</v>
      </c>
      <c r="C36">
        <v>1537</v>
      </c>
      <c r="D36">
        <v>0</v>
      </c>
      <c r="E36">
        <v>2558</v>
      </c>
      <c r="F36">
        <v>1009.56087758765</v>
      </c>
      <c r="G36">
        <v>0.2</v>
      </c>
      <c r="H36">
        <v>4.4821676958221701E-2</v>
      </c>
      <c r="I36">
        <v>1.6819567724806801</v>
      </c>
      <c r="J36">
        <v>38426.133333333302</v>
      </c>
    </row>
    <row r="37" spans="1:10" x14ac:dyDescent="0.25">
      <c r="A37" t="s">
        <v>55</v>
      </c>
      <c r="B37">
        <v>30</v>
      </c>
      <c r="C37">
        <v>1855</v>
      </c>
      <c r="D37">
        <v>1746</v>
      </c>
      <c r="E37">
        <v>2026</v>
      </c>
      <c r="F37">
        <v>56.989677427879002</v>
      </c>
      <c r="G37">
        <v>0</v>
      </c>
      <c r="H37">
        <v>4.4807216949076599E-2</v>
      </c>
      <c r="I37">
        <v>2.4977981453546101</v>
      </c>
      <c r="J37">
        <v>57083.333333333299</v>
      </c>
    </row>
    <row r="38" spans="1:10" x14ac:dyDescent="0.25">
      <c r="A38" t="s">
        <v>20</v>
      </c>
      <c r="B38">
        <v>930</v>
      </c>
      <c r="C38">
        <v>8397</v>
      </c>
      <c r="D38">
        <v>0</v>
      </c>
      <c r="E38">
        <v>63854</v>
      </c>
      <c r="F38">
        <v>13781.265196877301</v>
      </c>
      <c r="G38">
        <v>1.2903225806451601E-2</v>
      </c>
      <c r="H38">
        <v>0.94634527560016601</v>
      </c>
      <c r="I38">
        <v>81.011607484471796</v>
      </c>
      <c r="J38">
        <v>87659.217204301007</v>
      </c>
    </row>
    <row r="40" spans="1:10" x14ac:dyDescent="0.25">
      <c r="A40" t="s">
        <v>66</v>
      </c>
    </row>
    <row r="41" spans="1:10" x14ac:dyDescent="0.25">
      <c r="A41" t="s">
        <v>10</v>
      </c>
      <c r="B41">
        <v>854</v>
      </c>
      <c r="C41">
        <v>17187</v>
      </c>
      <c r="D41">
        <v>2066</v>
      </c>
      <c r="E41">
        <v>43032</v>
      </c>
      <c r="F41">
        <v>6313.7347052404102</v>
      </c>
      <c r="G41">
        <v>0</v>
      </c>
      <c r="H41">
        <v>0.28894409879046101</v>
      </c>
      <c r="I41">
        <v>288.88361387368502</v>
      </c>
      <c r="J41">
        <v>1023785.64519906</v>
      </c>
    </row>
    <row r="42" spans="1:10" x14ac:dyDescent="0.25">
      <c r="A42" t="s">
        <v>11</v>
      </c>
      <c r="B42">
        <v>837</v>
      </c>
      <c r="C42">
        <v>4005</v>
      </c>
      <c r="D42">
        <v>514</v>
      </c>
      <c r="E42">
        <v>6692</v>
      </c>
      <c r="F42">
        <v>448.29089502335199</v>
      </c>
      <c r="G42">
        <v>0</v>
      </c>
      <c r="H42">
        <v>0.28688788681878602</v>
      </c>
      <c r="I42">
        <v>14.585768807159001</v>
      </c>
      <c r="J42">
        <v>52061.547192353602</v>
      </c>
    </row>
    <row r="43" spans="1:10" x14ac:dyDescent="0.25">
      <c r="A43" t="s">
        <v>12</v>
      </c>
      <c r="B43">
        <v>829</v>
      </c>
      <c r="C43">
        <v>5984</v>
      </c>
      <c r="D43">
        <v>176</v>
      </c>
      <c r="E43">
        <v>11671</v>
      </c>
      <c r="F43">
        <v>1459.2777471720699</v>
      </c>
      <c r="G43">
        <v>0</v>
      </c>
      <c r="H43">
        <v>0.28502566606269097</v>
      </c>
      <c r="I43">
        <v>14.687964893858799</v>
      </c>
      <c r="J43">
        <v>52768.848009650101</v>
      </c>
    </row>
    <row r="44" spans="1:10" x14ac:dyDescent="0.25">
      <c r="A44" t="s">
        <v>13</v>
      </c>
      <c r="B44">
        <v>819</v>
      </c>
      <c r="C44">
        <v>6042</v>
      </c>
      <c r="D44">
        <v>249</v>
      </c>
      <c r="E44">
        <v>15856</v>
      </c>
      <c r="F44">
        <v>2266.1212198851999</v>
      </c>
      <c r="G44">
        <v>1.2210012210012199E-3</v>
      </c>
      <c r="H44">
        <v>0.282909860911287</v>
      </c>
      <c r="I44">
        <v>16.1587787605594</v>
      </c>
      <c r="J44">
        <v>58487.142857142797</v>
      </c>
    </row>
    <row r="45" spans="1:10" x14ac:dyDescent="0.25">
      <c r="A45" t="s">
        <v>14</v>
      </c>
      <c r="B45">
        <v>817</v>
      </c>
      <c r="C45">
        <v>6685</v>
      </c>
      <c r="D45">
        <v>245</v>
      </c>
      <c r="E45">
        <v>14440</v>
      </c>
      <c r="F45">
        <v>2018.7207693800899</v>
      </c>
      <c r="G45">
        <v>4.8959608323133402E-3</v>
      </c>
      <c r="H45">
        <v>0.28359675665280798</v>
      </c>
      <c r="I45">
        <v>15.2446551654788</v>
      </c>
      <c r="J45">
        <v>55044.800489595997</v>
      </c>
    </row>
    <row r="46" spans="1:10" x14ac:dyDescent="0.25">
      <c r="A46" t="s">
        <v>16</v>
      </c>
      <c r="B46">
        <v>812</v>
      </c>
      <c r="C46">
        <v>6054</v>
      </c>
      <c r="D46">
        <v>150</v>
      </c>
      <c r="E46">
        <v>12744</v>
      </c>
      <c r="F46">
        <v>1823.12007000736</v>
      </c>
      <c r="G46">
        <v>2.0935960591133E-2</v>
      </c>
      <c r="H46">
        <v>0.28328829328571797</v>
      </c>
      <c r="I46">
        <v>14.9148778178594</v>
      </c>
      <c r="J46">
        <v>53912.693349753601</v>
      </c>
    </row>
    <row r="47" spans="1:10" x14ac:dyDescent="0.25">
      <c r="A47" t="s">
        <v>17</v>
      </c>
      <c r="B47">
        <v>805</v>
      </c>
      <c r="C47">
        <v>4858</v>
      </c>
      <c r="D47">
        <v>151</v>
      </c>
      <c r="E47">
        <v>12603</v>
      </c>
      <c r="F47">
        <v>1870.7560565778899</v>
      </c>
      <c r="G47">
        <v>3.4782608695652098E-2</v>
      </c>
      <c r="H47">
        <v>0.28229815243749501</v>
      </c>
      <c r="I47">
        <v>15.1625908866353</v>
      </c>
      <c r="J47">
        <v>55000.335403726698</v>
      </c>
    </row>
    <row r="48" spans="1:10" x14ac:dyDescent="0.25">
      <c r="A48" t="s">
        <v>15</v>
      </c>
      <c r="B48">
        <v>803</v>
      </c>
      <c r="C48">
        <v>15998</v>
      </c>
      <c r="D48">
        <v>146</v>
      </c>
      <c r="E48">
        <v>33313</v>
      </c>
      <c r="F48">
        <v>5280.0125284866399</v>
      </c>
      <c r="G48">
        <v>4.6077210460772101E-2</v>
      </c>
      <c r="H48">
        <v>0.28415333805860599</v>
      </c>
      <c r="I48">
        <v>107.236847659861</v>
      </c>
      <c r="J48">
        <v>386448.15068493102</v>
      </c>
    </row>
    <row r="49" spans="1:10" x14ac:dyDescent="0.25">
      <c r="A49" t="s">
        <v>49</v>
      </c>
      <c r="B49">
        <v>802</v>
      </c>
      <c r="C49">
        <v>4536</v>
      </c>
      <c r="D49">
        <v>144</v>
      </c>
      <c r="E49">
        <v>12161</v>
      </c>
      <c r="F49">
        <v>1714.1471395452199</v>
      </c>
      <c r="G49">
        <v>3.4912718204488699E-2</v>
      </c>
      <c r="H49">
        <v>0.28515058759865097</v>
      </c>
      <c r="I49">
        <v>16.838838574456801</v>
      </c>
      <c r="J49">
        <v>60469.700748129602</v>
      </c>
    </row>
    <row r="50" spans="1:10" x14ac:dyDescent="0.25">
      <c r="A50" t="s">
        <v>35</v>
      </c>
      <c r="B50">
        <v>800</v>
      </c>
      <c r="C50">
        <v>4189</v>
      </c>
      <c r="D50">
        <v>155</v>
      </c>
      <c r="E50">
        <v>9914</v>
      </c>
      <c r="F50">
        <v>1196.90863690592</v>
      </c>
      <c r="G50">
        <v>3.875E-2</v>
      </c>
      <c r="H50">
        <v>0.29657045920969899</v>
      </c>
      <c r="I50">
        <v>17.6245111974347</v>
      </c>
      <c r="J50">
        <v>60854.002500000002</v>
      </c>
    </row>
    <row r="51" spans="1:10" x14ac:dyDescent="0.25">
      <c r="A51" t="s">
        <v>50</v>
      </c>
      <c r="B51">
        <v>800</v>
      </c>
      <c r="C51">
        <v>7222</v>
      </c>
      <c r="D51">
        <v>130</v>
      </c>
      <c r="E51">
        <v>15207</v>
      </c>
      <c r="F51">
        <v>2160.27633600426</v>
      </c>
      <c r="G51">
        <v>0</v>
      </c>
      <c r="H51">
        <v>0.29643122739943401</v>
      </c>
      <c r="I51">
        <v>20.534093270487698</v>
      </c>
      <c r="J51">
        <v>70933.523749999993</v>
      </c>
    </row>
    <row r="52" spans="1:10" x14ac:dyDescent="0.25">
      <c r="A52" t="s">
        <v>51</v>
      </c>
      <c r="B52">
        <v>717</v>
      </c>
      <c r="C52">
        <v>4165</v>
      </c>
      <c r="D52">
        <v>83</v>
      </c>
      <c r="E52">
        <v>17965</v>
      </c>
      <c r="F52">
        <v>2261.5664970816301</v>
      </c>
      <c r="G52">
        <v>3.6262203626220298E-2</v>
      </c>
      <c r="H52">
        <v>0.266400241655114</v>
      </c>
      <c r="I52">
        <v>17.9308442203222</v>
      </c>
      <c r="J52">
        <v>68923.302649930207</v>
      </c>
    </row>
    <row r="53" spans="1:10" x14ac:dyDescent="0.25">
      <c r="A53" t="s">
        <v>52</v>
      </c>
      <c r="B53">
        <v>800</v>
      </c>
      <c r="C53">
        <v>2691</v>
      </c>
      <c r="D53">
        <v>83</v>
      </c>
      <c r="E53">
        <v>8658</v>
      </c>
      <c r="F53">
        <v>1057.4733620100901</v>
      </c>
      <c r="G53">
        <v>0</v>
      </c>
      <c r="H53">
        <v>0.298109464304745</v>
      </c>
      <c r="I53">
        <v>17.994119071743899</v>
      </c>
      <c r="J53">
        <v>61809.436249999999</v>
      </c>
    </row>
    <row r="54" spans="1:10" x14ac:dyDescent="0.25">
      <c r="A54" t="s">
        <v>53</v>
      </c>
      <c r="B54">
        <v>745</v>
      </c>
      <c r="C54">
        <v>2910</v>
      </c>
      <c r="D54">
        <v>80</v>
      </c>
      <c r="E54">
        <v>8146</v>
      </c>
      <c r="F54">
        <v>1169.06768338251</v>
      </c>
      <c r="G54">
        <v>2.5503355704697899E-2</v>
      </c>
      <c r="H54">
        <v>0.27823184966666298</v>
      </c>
      <c r="I54">
        <v>16.661316991203499</v>
      </c>
      <c r="J54">
        <v>61320.041610738197</v>
      </c>
    </row>
    <row r="55" spans="1:10" x14ac:dyDescent="0.25">
      <c r="A55" t="s">
        <v>54</v>
      </c>
      <c r="B55">
        <v>800</v>
      </c>
      <c r="C55">
        <v>3728</v>
      </c>
      <c r="D55">
        <v>82</v>
      </c>
      <c r="E55">
        <v>9969</v>
      </c>
      <c r="F55">
        <v>1182.9369418527699</v>
      </c>
      <c r="G55">
        <v>0</v>
      </c>
      <c r="H55">
        <v>0.29877200969365703</v>
      </c>
      <c r="I55">
        <v>17.167050529372599</v>
      </c>
      <c r="J55">
        <v>58837.706250000003</v>
      </c>
    </row>
    <row r="56" spans="1:10" x14ac:dyDescent="0.25">
      <c r="A56" t="s">
        <v>58</v>
      </c>
      <c r="B56">
        <v>797</v>
      </c>
      <c r="C56">
        <v>2266</v>
      </c>
      <c r="D56">
        <v>0</v>
      </c>
      <c r="E56">
        <v>12303</v>
      </c>
      <c r="F56">
        <v>2314.28236544827</v>
      </c>
      <c r="G56">
        <v>0.27979924717691301</v>
      </c>
      <c r="H56">
        <v>0.29901759401514599</v>
      </c>
      <c r="I56">
        <v>10.768955636148601</v>
      </c>
      <c r="J56">
        <v>36878.8017565872</v>
      </c>
    </row>
    <row r="57" spans="1:10" x14ac:dyDescent="0.25">
      <c r="A57" t="s">
        <v>55</v>
      </c>
      <c r="B57">
        <v>764</v>
      </c>
      <c r="C57">
        <v>2642</v>
      </c>
      <c r="D57">
        <v>0</v>
      </c>
      <c r="E57">
        <v>7111</v>
      </c>
      <c r="F57">
        <v>1190.5975280021901</v>
      </c>
      <c r="G57">
        <v>6.5445026178010401E-2</v>
      </c>
      <c r="H57">
        <v>0.29418945030470101</v>
      </c>
      <c r="I57">
        <v>15.387139427196001</v>
      </c>
      <c r="J57">
        <v>53558.789267015702</v>
      </c>
    </row>
    <row r="58" spans="1:10" x14ac:dyDescent="0.25">
      <c r="A58" t="s">
        <v>20</v>
      </c>
      <c r="B58">
        <v>24668</v>
      </c>
      <c r="C58">
        <v>9530</v>
      </c>
      <c r="D58">
        <v>0</v>
      </c>
      <c r="E58">
        <v>73788</v>
      </c>
      <c r="F58">
        <v>14163.3864374358</v>
      </c>
      <c r="G58">
        <v>5.1118858440084299E-2</v>
      </c>
      <c r="H58">
        <v>8.3462213453900294</v>
      </c>
      <c r="I58">
        <v>746.78116354567896</v>
      </c>
      <c r="J58">
        <v>91622.769134100803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workbookViewId="0">
      <selection sqref="A1:XFD1"/>
    </sheetView>
  </sheetViews>
  <sheetFormatPr defaultRowHeight="15" x14ac:dyDescent="0.25"/>
  <cols>
    <col min="1" max="1" width="48.42578125" bestFit="1" customWidth="1"/>
    <col min="2" max="2" width="8.42578125" bestFit="1" customWidth="1"/>
    <col min="3" max="3" width="26.42578125" bestFit="1" customWidth="1"/>
    <col min="4" max="4" width="8.42578125" bestFit="1" customWidth="1"/>
    <col min="5" max="5" width="8.7109375" bestFit="1" customWidth="1"/>
    <col min="6" max="6" width="8.28515625" bestFit="1" customWidth="1"/>
    <col min="7" max="7" width="5.28515625" bestFit="1" customWidth="1"/>
    <col min="8" max="8" width="11.28515625" bestFit="1" customWidth="1"/>
    <col min="9" max="9" width="7" bestFit="1" customWidth="1"/>
    <col min="10" max="10" width="10.140625" bestFit="1" customWidth="1"/>
    <col min="12" max="12" width="22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25">
      <c r="A2" t="s">
        <v>10</v>
      </c>
      <c r="B2">
        <v>997</v>
      </c>
      <c r="C2">
        <v>10540</v>
      </c>
      <c r="D2">
        <v>123</v>
      </c>
      <c r="E2">
        <v>22308</v>
      </c>
      <c r="F2">
        <v>2932.8419756660701</v>
      </c>
      <c r="G2">
        <v>0</v>
      </c>
      <c r="H2">
        <v>0.10018253921839899</v>
      </c>
      <c r="I2">
        <v>99.249838078683496</v>
      </c>
      <c r="J2">
        <v>1014466.54262788</v>
      </c>
      <c r="L2" t="s">
        <v>67</v>
      </c>
      <c r="M2" s="3"/>
    </row>
    <row r="3" spans="1:13" x14ac:dyDescent="0.25">
      <c r="A3" t="s">
        <v>11</v>
      </c>
      <c r="B3">
        <v>988</v>
      </c>
      <c r="C3">
        <v>3848</v>
      </c>
      <c r="D3">
        <v>130</v>
      </c>
      <c r="E3">
        <v>23869</v>
      </c>
      <c r="F3">
        <v>925.31826916777095</v>
      </c>
      <c r="G3">
        <v>1.5182186234817799E-2</v>
      </c>
      <c r="H3">
        <v>9.9504181139506098E-2</v>
      </c>
      <c r="I3">
        <v>6.9698103933602704</v>
      </c>
      <c r="J3">
        <v>71726.491902833994</v>
      </c>
    </row>
    <row r="4" spans="1:13" x14ac:dyDescent="0.25">
      <c r="A4" t="s">
        <v>12</v>
      </c>
      <c r="B4">
        <v>974</v>
      </c>
      <c r="C4">
        <v>5263</v>
      </c>
      <c r="D4">
        <v>135</v>
      </c>
      <c r="E4">
        <v>18954</v>
      </c>
      <c r="F4">
        <v>1659.55076210056</v>
      </c>
      <c r="G4">
        <v>0</v>
      </c>
      <c r="H4">
        <v>9.83325366109499E-2</v>
      </c>
      <c r="I4">
        <v>5.7038267132917504</v>
      </c>
      <c r="J4">
        <v>59397.619096509203</v>
      </c>
    </row>
    <row r="5" spans="1:13" x14ac:dyDescent="0.25">
      <c r="A5" t="s">
        <v>13</v>
      </c>
      <c r="B5">
        <v>973</v>
      </c>
      <c r="C5">
        <v>4275</v>
      </c>
      <c r="D5">
        <v>154</v>
      </c>
      <c r="E5">
        <v>13389</v>
      </c>
      <c r="F5">
        <v>1260.72320154713</v>
      </c>
      <c r="G5">
        <v>1.6443987667009202E-2</v>
      </c>
      <c r="H5">
        <v>9.8282599949515201E-2</v>
      </c>
      <c r="I5">
        <v>5.9703750775061302</v>
      </c>
      <c r="J5">
        <v>62204.948612538501</v>
      </c>
    </row>
    <row r="6" spans="1:13" x14ac:dyDescent="0.25">
      <c r="A6" t="s">
        <v>14</v>
      </c>
      <c r="B6">
        <v>962</v>
      </c>
      <c r="C6">
        <v>5548</v>
      </c>
      <c r="D6">
        <v>145</v>
      </c>
      <c r="E6">
        <v>17259</v>
      </c>
      <c r="F6">
        <v>1774.0002325913399</v>
      </c>
      <c r="G6">
        <v>2.18295218295218E-2</v>
      </c>
      <c r="H6">
        <v>9.7359128577100301E-2</v>
      </c>
      <c r="I6">
        <v>5.7204734279916396</v>
      </c>
      <c r="J6">
        <v>60166.569646569602</v>
      </c>
    </row>
    <row r="7" spans="1:13" x14ac:dyDescent="0.25">
      <c r="A7" t="s">
        <v>16</v>
      </c>
      <c r="B7">
        <v>958</v>
      </c>
      <c r="C7">
        <v>5220</v>
      </c>
      <c r="D7">
        <v>142</v>
      </c>
      <c r="E7">
        <v>12104</v>
      </c>
      <c r="F7">
        <v>1633.68286040421</v>
      </c>
      <c r="G7">
        <v>3.2359081419624201E-2</v>
      </c>
      <c r="H7">
        <v>9.7116245611648305E-2</v>
      </c>
      <c r="I7">
        <v>5.6808924965231196</v>
      </c>
      <c r="J7">
        <v>59899.699373695199</v>
      </c>
    </row>
    <row r="8" spans="1:13" x14ac:dyDescent="0.25">
      <c r="A8" t="s">
        <v>17</v>
      </c>
      <c r="B8">
        <v>955</v>
      </c>
      <c r="C8">
        <v>4007</v>
      </c>
      <c r="D8">
        <v>151</v>
      </c>
      <c r="E8">
        <v>22526</v>
      </c>
      <c r="F8">
        <v>1420.9824488858601</v>
      </c>
      <c r="G8">
        <v>2.1989528795811501E-2</v>
      </c>
      <c r="H8">
        <v>9.7076137882270305E-2</v>
      </c>
      <c r="I8">
        <v>5.7555032743692296</v>
      </c>
      <c r="J8">
        <v>60711.4732984293</v>
      </c>
    </row>
    <row r="9" spans="1:13" x14ac:dyDescent="0.25">
      <c r="A9" t="s">
        <v>15</v>
      </c>
      <c r="B9">
        <v>952</v>
      </c>
      <c r="C9">
        <v>14381</v>
      </c>
      <c r="D9">
        <v>142</v>
      </c>
      <c r="E9">
        <v>29266</v>
      </c>
      <c r="F9">
        <v>3481.2380963241098</v>
      </c>
      <c r="G9">
        <v>2.8361344537815102E-2</v>
      </c>
      <c r="H9">
        <v>9.6688735802904394E-2</v>
      </c>
      <c r="I9">
        <v>39.688297144893099</v>
      </c>
      <c r="J9">
        <v>420326.27626050398</v>
      </c>
    </row>
    <row r="10" spans="1:13" x14ac:dyDescent="0.25">
      <c r="A10" t="s">
        <v>49</v>
      </c>
      <c r="B10">
        <v>949</v>
      </c>
      <c r="C10">
        <v>3876</v>
      </c>
      <c r="D10">
        <v>129</v>
      </c>
      <c r="E10">
        <v>21356</v>
      </c>
      <c r="F10">
        <v>1606.24556242227</v>
      </c>
      <c r="G10">
        <v>5.0579557428872497E-2</v>
      </c>
      <c r="H10">
        <v>9.6608610219480695E-2</v>
      </c>
      <c r="I10">
        <v>5.7731918873695802</v>
      </c>
      <c r="J10">
        <v>61192.770284509999</v>
      </c>
    </row>
    <row r="11" spans="1:13" x14ac:dyDescent="0.25">
      <c r="A11" t="s">
        <v>35</v>
      </c>
      <c r="B11">
        <v>928</v>
      </c>
      <c r="C11">
        <v>4064</v>
      </c>
      <c r="D11">
        <v>126</v>
      </c>
      <c r="E11">
        <v>24306</v>
      </c>
      <c r="F11">
        <v>1612.9227950898401</v>
      </c>
      <c r="G11">
        <v>6.6810344827586202E-2</v>
      </c>
      <c r="H11">
        <v>9.4596346786945298E-2</v>
      </c>
      <c r="I11">
        <v>5.59767375745965</v>
      </c>
      <c r="J11">
        <v>60594.495689655101</v>
      </c>
    </row>
    <row r="12" spans="1:13" x14ac:dyDescent="0.25">
      <c r="A12" t="s">
        <v>50</v>
      </c>
      <c r="B12">
        <v>918</v>
      </c>
      <c r="C12">
        <v>8054</v>
      </c>
      <c r="D12">
        <v>131</v>
      </c>
      <c r="E12">
        <v>16055</v>
      </c>
      <c r="F12">
        <v>2511.6256526795</v>
      </c>
      <c r="G12">
        <v>0</v>
      </c>
      <c r="H12">
        <v>9.3828228518957099E-2</v>
      </c>
      <c r="I12">
        <v>6.3481217818731803</v>
      </c>
      <c r="J12">
        <v>69280.607843137201</v>
      </c>
    </row>
    <row r="13" spans="1:13" x14ac:dyDescent="0.25">
      <c r="A13" t="s">
        <v>51</v>
      </c>
      <c r="B13">
        <v>818</v>
      </c>
      <c r="C13">
        <v>3412</v>
      </c>
      <c r="D13">
        <v>63</v>
      </c>
      <c r="E13">
        <v>13229</v>
      </c>
      <c r="F13">
        <v>1813.5043964065301</v>
      </c>
      <c r="G13">
        <v>4.52322738386308E-2</v>
      </c>
      <c r="H13">
        <v>8.3762805443681199E-2</v>
      </c>
      <c r="I13">
        <v>5.7110584986300399</v>
      </c>
      <c r="J13">
        <v>69817.669926650298</v>
      </c>
    </row>
    <row r="14" spans="1:13" x14ac:dyDescent="0.25">
      <c r="A14" t="s">
        <v>52</v>
      </c>
      <c r="B14">
        <v>910</v>
      </c>
      <c r="C14">
        <v>2475</v>
      </c>
      <c r="D14">
        <v>66</v>
      </c>
      <c r="E14">
        <v>7505</v>
      </c>
      <c r="F14">
        <v>1137.01862858042</v>
      </c>
      <c r="G14">
        <v>0</v>
      </c>
      <c r="H14">
        <v>9.3390814182144302E-2</v>
      </c>
      <c r="I14">
        <v>5.6451624257401898</v>
      </c>
      <c r="J14">
        <v>61897.375824175797</v>
      </c>
    </row>
    <row r="15" spans="1:13" x14ac:dyDescent="0.25">
      <c r="A15" t="s">
        <v>53</v>
      </c>
      <c r="B15">
        <v>801</v>
      </c>
      <c r="C15">
        <v>2721</v>
      </c>
      <c r="D15">
        <v>65</v>
      </c>
      <c r="E15">
        <v>9128</v>
      </c>
      <c r="F15">
        <v>1091.91024821879</v>
      </c>
      <c r="G15">
        <v>4.8689138576778999E-2</v>
      </c>
      <c r="H15">
        <v>8.2344725450246195E-2</v>
      </c>
      <c r="I15">
        <v>5.3227385210771603</v>
      </c>
      <c r="J15">
        <v>66191.054931335806</v>
      </c>
    </row>
    <row r="16" spans="1:13" x14ac:dyDescent="0.25">
      <c r="A16" t="s">
        <v>54</v>
      </c>
      <c r="B16">
        <v>902</v>
      </c>
      <c r="C16">
        <v>3696</v>
      </c>
      <c r="D16">
        <v>72</v>
      </c>
      <c r="E16">
        <v>11770</v>
      </c>
      <c r="F16">
        <v>1313.3736248100499</v>
      </c>
      <c r="G16">
        <v>0</v>
      </c>
      <c r="H16">
        <v>9.36275549838715E-2</v>
      </c>
      <c r="I16">
        <v>5.4001837873806897</v>
      </c>
      <c r="J16">
        <v>59061.546563192896</v>
      </c>
    </row>
    <row r="17" spans="1:10" x14ac:dyDescent="0.25">
      <c r="A17" t="s">
        <v>58</v>
      </c>
      <c r="B17">
        <v>902</v>
      </c>
      <c r="C17">
        <v>1601</v>
      </c>
      <c r="D17">
        <v>0</v>
      </c>
      <c r="E17">
        <v>11751</v>
      </c>
      <c r="F17">
        <v>1631.22069770399</v>
      </c>
      <c r="G17">
        <v>0.325942350332594</v>
      </c>
      <c r="H17">
        <v>9.3637255087191604E-2</v>
      </c>
      <c r="I17">
        <v>3.2487583161133</v>
      </c>
      <c r="J17">
        <v>35527.830376940103</v>
      </c>
    </row>
    <row r="18" spans="1:10" x14ac:dyDescent="0.25">
      <c r="A18" t="s">
        <v>55</v>
      </c>
      <c r="B18">
        <v>901</v>
      </c>
      <c r="C18">
        <v>1939</v>
      </c>
      <c r="D18">
        <v>0</v>
      </c>
      <c r="E18">
        <v>9478</v>
      </c>
      <c r="F18">
        <v>891.84581665426595</v>
      </c>
      <c r="G18">
        <v>0.112097669256381</v>
      </c>
      <c r="H18">
        <v>9.3543329976432402E-2</v>
      </c>
      <c r="I18">
        <v>4.9643702055474499</v>
      </c>
      <c r="J18">
        <v>54343.961154272998</v>
      </c>
    </row>
    <row r="19" spans="1:10" x14ac:dyDescent="0.25">
      <c r="A19" t="s">
        <v>20</v>
      </c>
      <c r="B19">
        <v>28488</v>
      </c>
      <c r="C19">
        <v>8841</v>
      </c>
      <c r="D19">
        <v>0</v>
      </c>
      <c r="E19">
        <v>71609</v>
      </c>
      <c r="F19">
        <v>13835.953492345699</v>
      </c>
      <c r="G19">
        <v>7.0871946082561005E-2</v>
      </c>
      <c r="H19">
        <v>2.8625833387761999</v>
      </c>
      <c r="I19">
        <v>265.08171876884001</v>
      </c>
      <c r="J19">
        <v>94824.725744172902</v>
      </c>
    </row>
    <row r="21" spans="1:10" x14ac:dyDescent="0.25">
      <c r="A21" t="s">
        <v>74</v>
      </c>
    </row>
    <row r="22" spans="1:10" x14ac:dyDescent="0.25">
      <c r="A22" t="s">
        <v>10</v>
      </c>
      <c r="B22">
        <v>50</v>
      </c>
      <c r="C22">
        <v>8145</v>
      </c>
      <c r="D22">
        <v>7772</v>
      </c>
      <c r="E22">
        <v>9930</v>
      </c>
      <c r="F22">
        <v>309.44202752695401</v>
      </c>
      <c r="G22">
        <v>0</v>
      </c>
      <c r="H22">
        <v>3.6241049366832603E-2</v>
      </c>
      <c r="I22">
        <v>36.549978122863997</v>
      </c>
      <c r="J22">
        <v>1032728.86</v>
      </c>
    </row>
    <row r="23" spans="1:10" x14ac:dyDescent="0.25">
      <c r="A23" t="s">
        <v>11</v>
      </c>
      <c r="B23">
        <v>50</v>
      </c>
      <c r="C23">
        <v>3578</v>
      </c>
      <c r="D23">
        <v>3425</v>
      </c>
      <c r="E23">
        <v>4030</v>
      </c>
      <c r="F23">
        <v>79.370798156501706</v>
      </c>
      <c r="G23">
        <v>0</v>
      </c>
      <c r="H23">
        <v>3.6363371902749797E-2</v>
      </c>
      <c r="I23">
        <v>1.85121736046465</v>
      </c>
      <c r="J23">
        <v>52130.66</v>
      </c>
    </row>
    <row r="24" spans="1:10" x14ac:dyDescent="0.25">
      <c r="A24" t="s">
        <v>12</v>
      </c>
      <c r="B24">
        <v>50</v>
      </c>
      <c r="C24">
        <v>5776</v>
      </c>
      <c r="D24">
        <v>4221</v>
      </c>
      <c r="E24">
        <v>63171</v>
      </c>
      <c r="F24">
        <v>8237.1118124983495</v>
      </c>
      <c r="G24">
        <v>0</v>
      </c>
      <c r="H24">
        <v>3.6342755798486601E-2</v>
      </c>
      <c r="I24">
        <v>1.8846685926812901</v>
      </c>
      <c r="J24">
        <v>53102.76</v>
      </c>
    </row>
    <row r="25" spans="1:10" x14ac:dyDescent="0.25">
      <c r="A25" t="s">
        <v>13</v>
      </c>
      <c r="B25">
        <v>50</v>
      </c>
      <c r="C25">
        <v>3649</v>
      </c>
      <c r="D25">
        <v>3472</v>
      </c>
      <c r="E25">
        <v>4029</v>
      </c>
      <c r="F25">
        <v>101.55994486016399</v>
      </c>
      <c r="G25">
        <v>0</v>
      </c>
      <c r="H25">
        <v>3.6349889496335899E-2</v>
      </c>
      <c r="I25">
        <v>2.12403550679924</v>
      </c>
      <c r="J25">
        <v>59835.46</v>
      </c>
    </row>
    <row r="26" spans="1:10" x14ac:dyDescent="0.25">
      <c r="A26" t="s">
        <v>14</v>
      </c>
      <c r="B26">
        <v>50</v>
      </c>
      <c r="C26">
        <v>4459</v>
      </c>
      <c r="D26">
        <v>4237</v>
      </c>
      <c r="E26">
        <v>4722</v>
      </c>
      <c r="F26">
        <v>91.328262876299604</v>
      </c>
      <c r="G26">
        <v>0</v>
      </c>
      <c r="H26">
        <v>3.6329605431421302E-2</v>
      </c>
      <c r="I26">
        <v>1.9087312155504499</v>
      </c>
      <c r="J26">
        <v>53800.22</v>
      </c>
    </row>
    <row r="27" spans="1:10" x14ac:dyDescent="0.25">
      <c r="A27" t="s">
        <v>16</v>
      </c>
      <c r="B27">
        <v>50</v>
      </c>
      <c r="C27">
        <v>5423</v>
      </c>
      <c r="D27">
        <v>4082</v>
      </c>
      <c r="E27">
        <v>63254</v>
      </c>
      <c r="F27">
        <v>8261.9542184400798</v>
      </c>
      <c r="G27">
        <v>0</v>
      </c>
      <c r="H27">
        <v>3.6326253346556002E-2</v>
      </c>
      <c r="I27">
        <v>1.8977884804001699</v>
      </c>
      <c r="J27">
        <v>53496.72</v>
      </c>
    </row>
    <row r="28" spans="1:10" x14ac:dyDescent="0.25">
      <c r="A28" t="s">
        <v>17</v>
      </c>
      <c r="B28">
        <v>50</v>
      </c>
      <c r="C28">
        <v>4574</v>
      </c>
      <c r="D28">
        <v>3254</v>
      </c>
      <c r="E28">
        <v>62269</v>
      </c>
      <c r="F28">
        <v>8242.36092936969</v>
      </c>
      <c r="G28">
        <v>0</v>
      </c>
      <c r="H28">
        <v>3.6348911749931101E-2</v>
      </c>
      <c r="I28">
        <v>1.95760116969889</v>
      </c>
      <c r="J28">
        <v>55148.38</v>
      </c>
    </row>
    <row r="29" spans="1:10" x14ac:dyDescent="0.25">
      <c r="A29" t="s">
        <v>15</v>
      </c>
      <c r="B29">
        <v>50</v>
      </c>
      <c r="C29">
        <v>12333</v>
      </c>
      <c r="D29">
        <v>11819</v>
      </c>
      <c r="E29">
        <v>12910</v>
      </c>
      <c r="F29">
        <v>200.30225560390099</v>
      </c>
      <c r="G29">
        <v>0</v>
      </c>
      <c r="H29">
        <v>3.6114355384036401E-2</v>
      </c>
      <c r="I29">
        <v>13.9310406428246</v>
      </c>
      <c r="J29">
        <v>395005.96</v>
      </c>
    </row>
    <row r="30" spans="1:10" x14ac:dyDescent="0.25">
      <c r="A30" t="s">
        <v>49</v>
      </c>
      <c r="B30">
        <v>50</v>
      </c>
      <c r="C30">
        <v>3387</v>
      </c>
      <c r="D30">
        <v>3240</v>
      </c>
      <c r="E30">
        <v>3534</v>
      </c>
      <c r="F30">
        <v>64.602786317615994</v>
      </c>
      <c r="G30">
        <v>0</v>
      </c>
      <c r="H30">
        <v>3.6357158179088002E-2</v>
      </c>
      <c r="I30">
        <v>1.95556703646441</v>
      </c>
      <c r="J30">
        <v>55078.58</v>
      </c>
    </row>
    <row r="31" spans="1:10" x14ac:dyDescent="0.25">
      <c r="A31" t="s">
        <v>35</v>
      </c>
      <c r="B31">
        <v>50</v>
      </c>
      <c r="C31">
        <v>3615</v>
      </c>
      <c r="D31">
        <v>3442</v>
      </c>
      <c r="E31">
        <v>4341</v>
      </c>
      <c r="F31">
        <v>140.53305518631399</v>
      </c>
      <c r="G31">
        <v>0</v>
      </c>
      <c r="H31">
        <v>3.6351025862300802E-2</v>
      </c>
      <c r="I31">
        <v>1.9579741700515501</v>
      </c>
      <c r="J31">
        <v>55155.68</v>
      </c>
    </row>
    <row r="32" spans="1:10" x14ac:dyDescent="0.25">
      <c r="A32" t="s">
        <v>50</v>
      </c>
      <c r="B32">
        <v>50</v>
      </c>
      <c r="C32">
        <v>7298</v>
      </c>
      <c r="D32">
        <v>5723</v>
      </c>
      <c r="E32">
        <v>8079</v>
      </c>
      <c r="F32">
        <v>510.83139331876998</v>
      </c>
      <c r="G32">
        <v>0</v>
      </c>
      <c r="H32">
        <v>3.6258421018281403E-2</v>
      </c>
      <c r="I32">
        <v>2.1565078313656998</v>
      </c>
      <c r="J32">
        <v>60903.48</v>
      </c>
    </row>
    <row r="33" spans="1:10" x14ac:dyDescent="0.25">
      <c r="A33" t="s">
        <v>51</v>
      </c>
      <c r="B33">
        <v>50</v>
      </c>
      <c r="C33">
        <v>2696</v>
      </c>
      <c r="D33">
        <v>2337</v>
      </c>
      <c r="E33">
        <v>3070</v>
      </c>
      <c r="F33">
        <v>152.536191115419</v>
      </c>
      <c r="G33">
        <v>0</v>
      </c>
      <c r="H33">
        <v>3.6396485846498502E-2</v>
      </c>
      <c r="I33">
        <v>2.2752950344638299</v>
      </c>
      <c r="J33">
        <v>64014.48</v>
      </c>
    </row>
    <row r="34" spans="1:10" x14ac:dyDescent="0.25">
      <c r="A34" t="s">
        <v>52</v>
      </c>
      <c r="B34">
        <v>50</v>
      </c>
      <c r="C34">
        <v>1996</v>
      </c>
      <c r="D34">
        <v>1853</v>
      </c>
      <c r="E34">
        <v>2641</v>
      </c>
      <c r="F34">
        <v>153.08512141942199</v>
      </c>
      <c r="G34">
        <v>0</v>
      </c>
      <c r="H34">
        <v>3.6420531856310799E-2</v>
      </c>
      <c r="I34">
        <v>2.1131626499524301</v>
      </c>
      <c r="J34">
        <v>59413.7</v>
      </c>
    </row>
    <row r="35" spans="1:10" x14ac:dyDescent="0.25">
      <c r="A35" t="s">
        <v>53</v>
      </c>
      <c r="B35">
        <v>50</v>
      </c>
      <c r="C35">
        <v>2246</v>
      </c>
      <c r="D35">
        <v>2027</v>
      </c>
      <c r="E35">
        <v>3950</v>
      </c>
      <c r="F35">
        <v>269.68635783071898</v>
      </c>
      <c r="G35">
        <v>0</v>
      </c>
      <c r="H35">
        <v>3.6422733904976003E-2</v>
      </c>
      <c r="I35">
        <v>2.21411451849327</v>
      </c>
      <c r="J35">
        <v>62248.3</v>
      </c>
    </row>
    <row r="36" spans="1:10" x14ac:dyDescent="0.25">
      <c r="A36" t="s">
        <v>54</v>
      </c>
      <c r="B36">
        <v>50</v>
      </c>
      <c r="C36">
        <v>3225</v>
      </c>
      <c r="D36">
        <v>2759</v>
      </c>
      <c r="E36">
        <v>8608</v>
      </c>
      <c r="F36">
        <v>1120.84860708304</v>
      </c>
      <c r="G36">
        <v>0</v>
      </c>
      <c r="H36">
        <v>3.6407033547625103E-2</v>
      </c>
      <c r="I36">
        <v>1.8874280813183799</v>
      </c>
      <c r="J36">
        <v>53086.62</v>
      </c>
    </row>
    <row r="37" spans="1:10" x14ac:dyDescent="0.25">
      <c r="A37" t="s">
        <v>58</v>
      </c>
      <c r="B37">
        <v>50</v>
      </c>
      <c r="C37">
        <v>1193</v>
      </c>
      <c r="D37">
        <v>0</v>
      </c>
      <c r="E37">
        <v>2461</v>
      </c>
      <c r="F37">
        <v>1103.75928245247</v>
      </c>
      <c r="G37">
        <v>0.32</v>
      </c>
      <c r="H37">
        <v>3.6433084446789103E-2</v>
      </c>
      <c r="I37">
        <v>1.0944512799488999</v>
      </c>
      <c r="J37">
        <v>30761</v>
      </c>
    </row>
    <row r="38" spans="1:10" x14ac:dyDescent="0.25">
      <c r="A38" t="s">
        <v>55</v>
      </c>
      <c r="B38">
        <v>50</v>
      </c>
      <c r="C38">
        <v>1940</v>
      </c>
      <c r="D38">
        <v>1760</v>
      </c>
      <c r="E38">
        <v>2920</v>
      </c>
      <c r="F38">
        <v>221.555172361198</v>
      </c>
      <c r="G38">
        <v>0</v>
      </c>
      <c r="H38">
        <v>3.6457524432009898E-2</v>
      </c>
      <c r="I38">
        <v>2.0926170425528499</v>
      </c>
      <c r="J38">
        <v>58776.34</v>
      </c>
    </row>
    <row r="39" spans="1:10" x14ac:dyDescent="0.25">
      <c r="A39" t="s">
        <v>20</v>
      </c>
      <c r="B39">
        <v>1550</v>
      </c>
      <c r="C39">
        <v>8496</v>
      </c>
      <c r="D39">
        <v>0</v>
      </c>
      <c r="E39">
        <v>64483</v>
      </c>
      <c r="F39">
        <v>14035.986062869801</v>
      </c>
      <c r="G39">
        <v>2.0645161290322501E-2</v>
      </c>
      <c r="H39">
        <v>0.91915252950776105</v>
      </c>
      <c r="I39">
        <v>78.998914149152299</v>
      </c>
      <c r="J39">
        <v>88010.298064516101</v>
      </c>
    </row>
    <row r="41" spans="1:10" x14ac:dyDescent="0.25">
      <c r="A41" t="s">
        <v>75</v>
      </c>
    </row>
    <row r="42" spans="1:10" x14ac:dyDescent="0.25">
      <c r="A42" t="s">
        <v>10</v>
      </c>
      <c r="B42">
        <v>3</v>
      </c>
      <c r="C42">
        <v>9576</v>
      </c>
      <c r="D42">
        <v>8036</v>
      </c>
      <c r="E42">
        <v>12525</v>
      </c>
      <c r="F42">
        <v>2085.4934401452501</v>
      </c>
      <c r="G42">
        <v>0</v>
      </c>
      <c r="H42">
        <v>1.3289684104208801E-2</v>
      </c>
      <c r="I42">
        <v>13.4029578960658</v>
      </c>
      <c r="J42">
        <v>1032728</v>
      </c>
    </row>
    <row r="43" spans="1:10" x14ac:dyDescent="0.25">
      <c r="A43" t="s">
        <v>11</v>
      </c>
      <c r="B43">
        <v>3</v>
      </c>
      <c r="C43">
        <v>3433</v>
      </c>
      <c r="D43">
        <v>3418</v>
      </c>
      <c r="E43">
        <v>3457</v>
      </c>
      <c r="F43">
        <v>17.146428199482202</v>
      </c>
      <c r="G43">
        <v>0</v>
      </c>
      <c r="H43">
        <v>1.3577609616568301E-2</v>
      </c>
      <c r="I43">
        <v>0.69120728851741498</v>
      </c>
      <c r="J43">
        <v>52129.666666666599</v>
      </c>
    </row>
    <row r="44" spans="1:10" x14ac:dyDescent="0.25">
      <c r="A44" t="s">
        <v>12</v>
      </c>
      <c r="B44">
        <v>3</v>
      </c>
      <c r="C44">
        <v>6528</v>
      </c>
      <c r="D44">
        <v>4408</v>
      </c>
      <c r="E44">
        <v>9686</v>
      </c>
      <c r="F44">
        <v>2276.1614373521202</v>
      </c>
      <c r="G44">
        <v>0</v>
      </c>
      <c r="H44">
        <v>1.3456957920092501E-2</v>
      </c>
      <c r="I44">
        <v>0.69691885426338795</v>
      </c>
      <c r="J44">
        <v>53031.666666666599</v>
      </c>
    </row>
    <row r="45" spans="1:10" x14ac:dyDescent="0.25">
      <c r="A45" t="s">
        <v>13</v>
      </c>
      <c r="B45">
        <v>3</v>
      </c>
      <c r="C45">
        <v>3511</v>
      </c>
      <c r="D45">
        <v>3384</v>
      </c>
      <c r="E45">
        <v>3647</v>
      </c>
      <c r="F45">
        <v>107.530874119427</v>
      </c>
      <c r="G45">
        <v>0</v>
      </c>
      <c r="H45">
        <v>1.35081589279925E-2</v>
      </c>
      <c r="I45">
        <v>0.78932147673444697</v>
      </c>
      <c r="J45">
        <v>59835.333333333299</v>
      </c>
    </row>
    <row r="46" spans="1:10" x14ac:dyDescent="0.25">
      <c r="A46" t="s">
        <v>14</v>
      </c>
      <c r="B46">
        <v>3</v>
      </c>
      <c r="C46">
        <v>4350</v>
      </c>
      <c r="D46">
        <v>4334</v>
      </c>
      <c r="E46">
        <v>4372</v>
      </c>
      <c r="F46">
        <v>15.860503004389299</v>
      </c>
      <c r="G46">
        <v>0</v>
      </c>
      <c r="H46">
        <v>1.3452492522656199E-2</v>
      </c>
      <c r="I46">
        <v>0.70676820822888897</v>
      </c>
      <c r="J46">
        <v>53799</v>
      </c>
    </row>
    <row r="47" spans="1:10" x14ac:dyDescent="0.25">
      <c r="A47" t="s">
        <v>16</v>
      </c>
      <c r="B47">
        <v>3</v>
      </c>
      <c r="C47">
        <v>4124</v>
      </c>
      <c r="D47">
        <v>4122</v>
      </c>
      <c r="E47">
        <v>4129</v>
      </c>
      <c r="F47">
        <v>3.0912061652321801</v>
      </c>
      <c r="G47">
        <v>0</v>
      </c>
      <c r="H47">
        <v>1.347043240088E-2</v>
      </c>
      <c r="I47">
        <v>0.70416773073728101</v>
      </c>
      <c r="J47">
        <v>53529.666666666599</v>
      </c>
    </row>
    <row r="48" spans="1:10" x14ac:dyDescent="0.25">
      <c r="A48" t="s">
        <v>17</v>
      </c>
      <c r="B48">
        <v>3</v>
      </c>
      <c r="C48">
        <v>3372</v>
      </c>
      <c r="D48">
        <v>3235</v>
      </c>
      <c r="E48">
        <v>3613</v>
      </c>
      <c r="F48">
        <v>170.54096933646699</v>
      </c>
      <c r="G48">
        <v>0</v>
      </c>
      <c r="H48">
        <v>1.3526979560733799E-2</v>
      </c>
      <c r="I48">
        <v>0.72757272583292298</v>
      </c>
      <c r="J48">
        <v>55077.666666666599</v>
      </c>
    </row>
    <row r="49" spans="1:10" x14ac:dyDescent="0.25">
      <c r="A49" t="s">
        <v>15</v>
      </c>
      <c r="B49">
        <v>3</v>
      </c>
      <c r="C49">
        <v>11973</v>
      </c>
      <c r="D49">
        <v>11728</v>
      </c>
      <c r="E49">
        <v>12258</v>
      </c>
      <c r="F49">
        <v>218.09223329187699</v>
      </c>
      <c r="G49">
        <v>0</v>
      </c>
      <c r="H49">
        <v>1.3020607281123499E-2</v>
      </c>
      <c r="I49">
        <v>5.0225848197622396</v>
      </c>
      <c r="J49">
        <v>394999</v>
      </c>
    </row>
    <row r="50" spans="1:10" x14ac:dyDescent="0.25">
      <c r="A50" t="s">
        <v>49</v>
      </c>
      <c r="B50">
        <v>3</v>
      </c>
      <c r="C50">
        <v>3266</v>
      </c>
      <c r="D50">
        <v>3156</v>
      </c>
      <c r="E50">
        <v>3373</v>
      </c>
      <c r="F50">
        <v>88.615273326137398</v>
      </c>
      <c r="G50">
        <v>0</v>
      </c>
      <c r="H50">
        <v>1.3524235429890299E-2</v>
      </c>
      <c r="I50">
        <v>0.72742512786037505</v>
      </c>
      <c r="J50">
        <v>55077.666666666599</v>
      </c>
    </row>
    <row r="51" spans="1:10" x14ac:dyDescent="0.25">
      <c r="A51" t="s">
        <v>35</v>
      </c>
      <c r="B51">
        <v>3</v>
      </c>
      <c r="C51">
        <v>3608</v>
      </c>
      <c r="D51">
        <v>3493</v>
      </c>
      <c r="E51">
        <v>3838</v>
      </c>
      <c r="F51">
        <v>162.16521068205699</v>
      </c>
      <c r="G51">
        <v>0</v>
      </c>
      <c r="H51">
        <v>1.3510653150008701E-2</v>
      </c>
      <c r="I51">
        <v>0.72295188349763795</v>
      </c>
      <c r="J51">
        <v>54794</v>
      </c>
    </row>
    <row r="52" spans="1:10" x14ac:dyDescent="0.25">
      <c r="A52" t="s">
        <v>50</v>
      </c>
      <c r="B52">
        <v>3</v>
      </c>
      <c r="C52">
        <v>7615</v>
      </c>
      <c r="D52">
        <v>6817</v>
      </c>
      <c r="E52">
        <v>8373</v>
      </c>
      <c r="F52">
        <v>635.86371705473505</v>
      </c>
      <c r="G52">
        <v>0</v>
      </c>
      <c r="H52">
        <v>1.3220634766743899E-2</v>
      </c>
      <c r="I52">
        <v>0.78659764347693795</v>
      </c>
      <c r="J52">
        <v>60925.666666666599</v>
      </c>
    </row>
    <row r="53" spans="1:10" x14ac:dyDescent="0.25">
      <c r="A53" t="s">
        <v>51</v>
      </c>
      <c r="B53">
        <v>3</v>
      </c>
      <c r="C53">
        <v>2785</v>
      </c>
      <c r="D53">
        <v>2647</v>
      </c>
      <c r="E53">
        <v>2952</v>
      </c>
      <c r="F53">
        <v>126.192973919576</v>
      </c>
      <c r="G53">
        <v>0</v>
      </c>
      <c r="H53">
        <v>1.3520212718013401E-2</v>
      </c>
      <c r="I53">
        <v>0.841620038363603</v>
      </c>
      <c r="J53">
        <v>63743</v>
      </c>
    </row>
    <row r="54" spans="1:10" x14ac:dyDescent="0.25">
      <c r="A54" t="s">
        <v>52</v>
      </c>
      <c r="B54">
        <v>3</v>
      </c>
      <c r="C54">
        <v>1990</v>
      </c>
      <c r="D54">
        <v>1939</v>
      </c>
      <c r="E54">
        <v>2068</v>
      </c>
      <c r="F54">
        <v>55.858949347642401</v>
      </c>
      <c r="G54">
        <v>0</v>
      </c>
      <c r="H54">
        <v>1.3562877500090401E-2</v>
      </c>
      <c r="I54">
        <v>0.78691179495641705</v>
      </c>
      <c r="J54">
        <v>59412</v>
      </c>
    </row>
    <row r="55" spans="1:10" x14ac:dyDescent="0.25">
      <c r="A55" t="s">
        <v>53</v>
      </c>
      <c r="B55">
        <v>3</v>
      </c>
      <c r="C55">
        <v>2243</v>
      </c>
      <c r="D55">
        <v>2037</v>
      </c>
      <c r="E55">
        <v>2458</v>
      </c>
      <c r="F55">
        <v>171.99030980455501</v>
      </c>
      <c r="G55">
        <v>0</v>
      </c>
      <c r="H55">
        <v>1.35324101222427E-2</v>
      </c>
      <c r="I55">
        <v>0.82516866175740899</v>
      </c>
      <c r="J55">
        <v>62440.666666666599</v>
      </c>
    </row>
    <row r="56" spans="1:10" x14ac:dyDescent="0.25">
      <c r="A56" t="s">
        <v>54</v>
      </c>
      <c r="B56">
        <v>3</v>
      </c>
      <c r="C56">
        <v>4829</v>
      </c>
      <c r="D56">
        <v>2924</v>
      </c>
      <c r="E56">
        <v>8522</v>
      </c>
      <c r="F56">
        <v>2611.5539860822701</v>
      </c>
      <c r="G56">
        <v>0</v>
      </c>
      <c r="H56">
        <v>1.34692228258429E-2</v>
      </c>
      <c r="I56">
        <v>0.69829063636465605</v>
      </c>
      <c r="J56">
        <v>53087.666666666599</v>
      </c>
    </row>
    <row r="57" spans="1:10" x14ac:dyDescent="0.25">
      <c r="A57" t="s">
        <v>58</v>
      </c>
      <c r="B57">
        <v>3</v>
      </c>
      <c r="C57">
        <v>2205</v>
      </c>
      <c r="D57">
        <v>2148</v>
      </c>
      <c r="E57">
        <v>2258</v>
      </c>
      <c r="F57">
        <v>45.028386108709597</v>
      </c>
      <c r="G57">
        <v>0</v>
      </c>
      <c r="H57">
        <v>1.3866227877588899E-2</v>
      </c>
      <c r="I57">
        <v>0.75801594356214097</v>
      </c>
      <c r="J57">
        <v>55978.333333333299</v>
      </c>
    </row>
    <row r="58" spans="1:10" x14ac:dyDescent="0.25">
      <c r="A58" t="s">
        <v>55</v>
      </c>
      <c r="B58">
        <v>3</v>
      </c>
      <c r="C58">
        <v>2364</v>
      </c>
      <c r="D58">
        <v>1839</v>
      </c>
      <c r="E58">
        <v>3326</v>
      </c>
      <c r="F58">
        <v>681.184752227079</v>
      </c>
      <c r="G58">
        <v>0</v>
      </c>
      <c r="H58">
        <v>1.41045049788902E-2</v>
      </c>
      <c r="I58">
        <v>0.80957654749927099</v>
      </c>
      <c r="J58">
        <v>58776</v>
      </c>
    </row>
    <row r="59" spans="1:10" x14ac:dyDescent="0.25">
      <c r="A59" t="s">
        <v>20</v>
      </c>
      <c r="B59">
        <v>93</v>
      </c>
      <c r="C59">
        <v>4099</v>
      </c>
      <c r="D59">
        <v>147</v>
      </c>
      <c r="E59">
        <v>14188</v>
      </c>
      <c r="F59">
        <v>3714.5918306717699</v>
      </c>
      <c r="G59">
        <v>0</v>
      </c>
      <c r="H59">
        <v>0.29330507512394499</v>
      </c>
      <c r="I59">
        <v>25.665915737670101</v>
      </c>
      <c r="J59">
        <v>89606.010752688104</v>
      </c>
    </row>
    <row r="61" spans="1:10" x14ac:dyDescent="0.25">
      <c r="A61" t="s">
        <v>76</v>
      </c>
    </row>
    <row r="62" spans="1:10" x14ac:dyDescent="0.25">
      <c r="A62" t="s">
        <v>10</v>
      </c>
      <c r="B62">
        <v>924</v>
      </c>
      <c r="C62">
        <v>33349</v>
      </c>
      <c r="D62">
        <v>158</v>
      </c>
      <c r="E62">
        <v>121539</v>
      </c>
      <c r="F62">
        <v>25161.4071826863</v>
      </c>
      <c r="G62">
        <v>0</v>
      </c>
      <c r="H62">
        <v>0.43599815974802703</v>
      </c>
      <c r="I62">
        <v>358.04154492323403</v>
      </c>
      <c r="J62">
        <v>840908.46212121204</v>
      </c>
    </row>
    <row r="63" spans="1:10" x14ac:dyDescent="0.25">
      <c r="A63" t="s">
        <v>11</v>
      </c>
      <c r="B63">
        <v>900</v>
      </c>
      <c r="C63">
        <v>5088</v>
      </c>
      <c r="D63">
        <v>160</v>
      </c>
      <c r="E63">
        <v>16151</v>
      </c>
      <c r="F63">
        <v>2818.8802282254201</v>
      </c>
      <c r="G63">
        <v>0.17333333333333301</v>
      </c>
      <c r="H63">
        <v>0.43157974490759798</v>
      </c>
      <c r="I63">
        <v>81.324025385790307</v>
      </c>
      <c r="J63">
        <v>192955.77</v>
      </c>
    </row>
    <row r="64" spans="1:10" x14ac:dyDescent="0.25">
      <c r="A64" t="s">
        <v>12</v>
      </c>
      <c r="B64">
        <v>891</v>
      </c>
      <c r="C64">
        <v>11197</v>
      </c>
      <c r="D64">
        <v>153</v>
      </c>
      <c r="E64">
        <v>36213</v>
      </c>
      <c r="F64">
        <v>7274.5975160295502</v>
      </c>
      <c r="G64">
        <v>0</v>
      </c>
      <c r="H64">
        <v>0.42827046505558097</v>
      </c>
      <c r="I64">
        <v>42.797680549376999</v>
      </c>
      <c r="J64">
        <v>102329.785634118</v>
      </c>
    </row>
    <row r="65" spans="1:10" x14ac:dyDescent="0.25">
      <c r="A65" t="s">
        <v>13</v>
      </c>
      <c r="B65">
        <v>885</v>
      </c>
      <c r="C65">
        <v>12821</v>
      </c>
      <c r="D65">
        <v>161</v>
      </c>
      <c r="E65">
        <v>53560</v>
      </c>
      <c r="F65">
        <v>10193.035390516199</v>
      </c>
      <c r="G65">
        <v>0.21581920903954799</v>
      </c>
      <c r="H65">
        <v>0.42785660760472799</v>
      </c>
      <c r="I65">
        <v>27.8826045770987</v>
      </c>
      <c r="J65">
        <v>66732.140112994297</v>
      </c>
    </row>
    <row r="66" spans="1:10" x14ac:dyDescent="0.25">
      <c r="A66" t="s">
        <v>14</v>
      </c>
      <c r="B66">
        <v>879</v>
      </c>
      <c r="C66">
        <v>15414</v>
      </c>
      <c r="D66">
        <v>185</v>
      </c>
      <c r="E66">
        <v>56731</v>
      </c>
      <c r="F66">
        <v>10537.5973780104</v>
      </c>
      <c r="G66">
        <v>0.16268486916951</v>
      </c>
      <c r="H66">
        <v>0.42775221321622903</v>
      </c>
      <c r="I66">
        <v>25.220121668344301</v>
      </c>
      <c r="J66">
        <v>60374.683731513003</v>
      </c>
    </row>
    <row r="67" spans="1:10" x14ac:dyDescent="0.25">
      <c r="A67" t="s">
        <v>16</v>
      </c>
      <c r="B67">
        <v>872</v>
      </c>
      <c r="C67">
        <v>12356</v>
      </c>
      <c r="D67">
        <v>164</v>
      </c>
      <c r="E67">
        <v>41571</v>
      </c>
      <c r="F67">
        <v>8604.9846452586899</v>
      </c>
      <c r="G67">
        <v>0.20298165137614599</v>
      </c>
      <c r="H67">
        <v>0.42771222030710898</v>
      </c>
      <c r="I67">
        <v>26.897483727346401</v>
      </c>
      <c r="J67">
        <v>64396.157110091699</v>
      </c>
    </row>
    <row r="68" spans="1:10" x14ac:dyDescent="0.25">
      <c r="A68" t="s">
        <v>17</v>
      </c>
      <c r="B68">
        <v>853</v>
      </c>
      <c r="C68">
        <v>9504</v>
      </c>
      <c r="D68">
        <v>191</v>
      </c>
      <c r="E68">
        <v>44754</v>
      </c>
      <c r="F68">
        <v>8008.38683397763</v>
      </c>
      <c r="G68">
        <v>0.25205158264947197</v>
      </c>
      <c r="H68">
        <v>0.42154953305852699</v>
      </c>
      <c r="I68">
        <v>24.2988582719459</v>
      </c>
      <c r="J68">
        <v>59025.165298944899</v>
      </c>
    </row>
    <row r="69" spans="1:10" x14ac:dyDescent="0.25">
      <c r="A69" t="s">
        <v>15</v>
      </c>
      <c r="B69">
        <v>839</v>
      </c>
      <c r="C69">
        <v>28959</v>
      </c>
      <c r="D69">
        <v>149</v>
      </c>
      <c r="E69">
        <v>101518</v>
      </c>
      <c r="F69">
        <v>20030.885929268399</v>
      </c>
      <c r="G69">
        <v>0.21692491060786601</v>
      </c>
      <c r="H69">
        <v>0.41550245091970101</v>
      </c>
      <c r="I69">
        <v>149.675743596638</v>
      </c>
      <c r="J69">
        <v>368873.78426698397</v>
      </c>
    </row>
    <row r="70" spans="1:10" x14ac:dyDescent="0.25">
      <c r="A70" t="s">
        <v>49</v>
      </c>
      <c r="B70">
        <v>815</v>
      </c>
      <c r="C70">
        <v>11046</v>
      </c>
      <c r="D70">
        <v>109</v>
      </c>
      <c r="E70">
        <v>42432</v>
      </c>
      <c r="F70">
        <v>7668.22631435123</v>
      </c>
      <c r="G70">
        <v>0.20122699386503001</v>
      </c>
      <c r="H70">
        <v>0.41028253616023802</v>
      </c>
      <c r="I70">
        <v>24.2227203841767</v>
      </c>
      <c r="J70">
        <v>60456.060122699302</v>
      </c>
    </row>
    <row r="71" spans="1:10" x14ac:dyDescent="0.25">
      <c r="A71" t="s">
        <v>35</v>
      </c>
      <c r="B71">
        <v>803</v>
      </c>
      <c r="C71">
        <v>7497</v>
      </c>
      <c r="D71">
        <v>147</v>
      </c>
      <c r="E71">
        <v>26242</v>
      </c>
      <c r="F71">
        <v>4729.3648548066103</v>
      </c>
      <c r="G71">
        <v>0.18306351183063499</v>
      </c>
      <c r="H71">
        <v>0.408953379823982</v>
      </c>
      <c r="I71">
        <v>25.279104693688499</v>
      </c>
      <c r="J71">
        <v>63297.687422166797</v>
      </c>
    </row>
    <row r="72" spans="1:10" x14ac:dyDescent="0.25">
      <c r="A72" t="s">
        <v>50</v>
      </c>
      <c r="B72">
        <v>793</v>
      </c>
      <c r="C72">
        <v>14718</v>
      </c>
      <c r="D72">
        <v>131</v>
      </c>
      <c r="E72">
        <v>44862</v>
      </c>
      <c r="F72">
        <v>7063.9112492026297</v>
      </c>
      <c r="G72">
        <v>0</v>
      </c>
      <c r="H72">
        <v>0.40778672085996198</v>
      </c>
      <c r="I72">
        <v>30.785455320646001</v>
      </c>
      <c r="J72">
        <v>77305.867591424903</v>
      </c>
    </row>
    <row r="73" spans="1:10" x14ac:dyDescent="0.25">
      <c r="A73" t="s">
        <v>52</v>
      </c>
      <c r="B73">
        <v>779</v>
      </c>
      <c r="C73">
        <v>10160</v>
      </c>
      <c r="D73">
        <v>70</v>
      </c>
      <c r="E73">
        <v>37894</v>
      </c>
      <c r="F73">
        <v>6951.7235498378604</v>
      </c>
      <c r="G73">
        <v>0</v>
      </c>
      <c r="H73">
        <v>0.40906303036413399</v>
      </c>
      <c r="I73">
        <v>28.992851493086601</v>
      </c>
      <c r="J73">
        <v>72577.274711168095</v>
      </c>
    </row>
    <row r="74" spans="1:10" x14ac:dyDescent="0.25">
      <c r="A74" t="s">
        <v>51</v>
      </c>
      <c r="B74">
        <v>460</v>
      </c>
      <c r="C74">
        <v>14416</v>
      </c>
      <c r="D74">
        <v>84</v>
      </c>
      <c r="E74">
        <v>70473</v>
      </c>
      <c r="F74">
        <v>12274.0517379269</v>
      </c>
      <c r="G74">
        <v>0.245652173913043</v>
      </c>
      <c r="H74">
        <v>0.241607551601595</v>
      </c>
      <c r="I74">
        <v>15.308932349360299</v>
      </c>
      <c r="J74">
        <v>64883.513043478197</v>
      </c>
    </row>
    <row r="75" spans="1:10" x14ac:dyDescent="0.25">
      <c r="A75" t="s">
        <v>54</v>
      </c>
      <c r="B75">
        <v>763</v>
      </c>
      <c r="C75">
        <v>10138</v>
      </c>
      <c r="D75">
        <v>85</v>
      </c>
      <c r="E75">
        <v>33689</v>
      </c>
      <c r="F75">
        <v>5905.5267318108799</v>
      </c>
      <c r="G75">
        <v>0</v>
      </c>
      <c r="H75">
        <v>0.40198791718100502</v>
      </c>
      <c r="I75">
        <v>26.559869651268802</v>
      </c>
      <c r="J75">
        <v>67657.0249017038</v>
      </c>
    </row>
    <row r="76" spans="1:10" x14ac:dyDescent="0.25">
      <c r="A76" t="s">
        <v>58</v>
      </c>
      <c r="B76">
        <v>754</v>
      </c>
      <c r="C76">
        <v>8634</v>
      </c>
      <c r="D76">
        <v>0</v>
      </c>
      <c r="E76">
        <v>81587</v>
      </c>
      <c r="F76">
        <v>12522.271888472</v>
      </c>
      <c r="G76">
        <v>0.46551724137931</v>
      </c>
      <c r="H76">
        <v>0.401438149508557</v>
      </c>
      <c r="I76">
        <v>13.056586869132399</v>
      </c>
      <c r="J76">
        <v>33305.118037135202</v>
      </c>
    </row>
    <row r="77" spans="1:10" x14ac:dyDescent="0.25">
      <c r="A77" t="s">
        <v>53</v>
      </c>
      <c r="B77">
        <v>415</v>
      </c>
      <c r="C77">
        <v>10244</v>
      </c>
      <c r="D77">
        <v>84</v>
      </c>
      <c r="E77">
        <v>46908</v>
      </c>
      <c r="F77">
        <v>9257.0110605153895</v>
      </c>
      <c r="G77">
        <v>0.28192771084337298</v>
      </c>
      <c r="H77">
        <v>0.22119849073338199</v>
      </c>
      <c r="I77">
        <v>13.56949678476</v>
      </c>
      <c r="J77">
        <v>62817.628915662601</v>
      </c>
    </row>
    <row r="78" spans="1:10" x14ac:dyDescent="0.25">
      <c r="A78" t="s">
        <v>55</v>
      </c>
      <c r="B78">
        <v>730</v>
      </c>
      <c r="C78">
        <v>4879</v>
      </c>
      <c r="D78">
        <v>0</v>
      </c>
      <c r="E78">
        <v>32871</v>
      </c>
      <c r="F78">
        <v>6411.0080720869501</v>
      </c>
      <c r="G78">
        <v>0.53013698630136896</v>
      </c>
      <c r="H78">
        <v>0.40689423759725002</v>
      </c>
      <c r="I78">
        <v>16.4824956398216</v>
      </c>
      <c r="J78">
        <v>41480.252054794502</v>
      </c>
    </row>
    <row r="79" spans="1:10" x14ac:dyDescent="0.25">
      <c r="A79" t="s">
        <v>20</v>
      </c>
      <c r="B79">
        <v>24009</v>
      </c>
      <c r="C79">
        <v>15266</v>
      </c>
      <c r="D79">
        <v>0</v>
      </c>
      <c r="E79">
        <v>130804</v>
      </c>
      <c r="F79">
        <v>19328.207659735501</v>
      </c>
      <c r="G79">
        <v>0.27439710108709198</v>
      </c>
      <c r="H79">
        <v>11.3154512536354</v>
      </c>
      <c r="I79">
        <v>1069.5147357076901</v>
      </c>
      <c r="J79">
        <v>96786.514723645305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5"/>
  <sheetViews>
    <sheetView workbookViewId="0">
      <selection activeCell="K23" sqref="K23"/>
    </sheetView>
  </sheetViews>
  <sheetFormatPr defaultColWidth="38.140625" defaultRowHeight="15" x14ac:dyDescent="0.25"/>
  <cols>
    <col min="1" max="1" width="37.7109375" bestFit="1" customWidth="1"/>
    <col min="2" max="2" width="8.42578125" bestFit="1" customWidth="1"/>
    <col min="3" max="3" width="26.42578125" bestFit="1" customWidth="1"/>
    <col min="4" max="4" width="8.42578125" bestFit="1" customWidth="1"/>
    <col min="5" max="5" width="8.7109375" bestFit="1" customWidth="1"/>
    <col min="6" max="10" width="11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25">
      <c r="A2" s="8" t="s">
        <v>10</v>
      </c>
      <c r="B2" s="8">
        <v>273</v>
      </c>
      <c r="C2" s="8">
        <v>9668</v>
      </c>
      <c r="D2" s="8">
        <v>162</v>
      </c>
      <c r="E2" s="8">
        <v>69430</v>
      </c>
      <c r="F2" s="8">
        <v>4614.01986146544</v>
      </c>
      <c r="G2" s="8">
        <v>0</v>
      </c>
      <c r="H2" s="8">
        <v>0.28653686092046499</v>
      </c>
      <c r="I2" s="8">
        <v>277.71061808159101</v>
      </c>
      <c r="J2" s="8">
        <v>992457.55677655595</v>
      </c>
      <c r="K2" t="s">
        <v>107</v>
      </c>
    </row>
    <row r="3" spans="1:11" x14ac:dyDescent="0.25">
      <c r="A3" s="8" t="s">
        <v>11</v>
      </c>
      <c r="B3" s="8">
        <v>265</v>
      </c>
      <c r="C3" s="8">
        <v>3752</v>
      </c>
      <c r="D3" s="8">
        <v>262</v>
      </c>
      <c r="E3" s="8">
        <v>6898</v>
      </c>
      <c r="F3" s="8">
        <v>820.787838793834</v>
      </c>
      <c r="G3" s="8">
        <v>3.3962264150943298E-2</v>
      </c>
      <c r="H3" s="8">
        <v>0.28539734849708598</v>
      </c>
      <c r="I3" s="8">
        <v>20.1623624421801</v>
      </c>
      <c r="J3" s="8">
        <v>72342.154716981095</v>
      </c>
    </row>
    <row r="4" spans="1:11" x14ac:dyDescent="0.25">
      <c r="A4" s="8" t="s">
        <v>12</v>
      </c>
      <c r="B4" s="8">
        <v>259</v>
      </c>
      <c r="C4" s="8">
        <v>3939</v>
      </c>
      <c r="D4" s="8">
        <v>216</v>
      </c>
      <c r="E4" s="8">
        <v>61068</v>
      </c>
      <c r="F4" s="8">
        <v>3659.7978998925601</v>
      </c>
      <c r="G4" s="8">
        <v>0</v>
      </c>
      <c r="H4" s="8">
        <v>0.28328797808947898</v>
      </c>
      <c r="I4" s="8">
        <v>18.662892279336099</v>
      </c>
      <c r="J4" s="8">
        <v>67460.687258687205</v>
      </c>
    </row>
    <row r="5" spans="1:11" x14ac:dyDescent="0.25">
      <c r="A5" s="8" t="s">
        <v>13</v>
      </c>
      <c r="B5" s="8">
        <v>254</v>
      </c>
      <c r="C5" s="8">
        <v>4351</v>
      </c>
      <c r="D5" s="8">
        <v>149</v>
      </c>
      <c r="E5" s="8">
        <v>64653</v>
      </c>
      <c r="F5" s="8">
        <v>3940.0661193830301</v>
      </c>
      <c r="G5" s="8">
        <v>4.33070866141732E-2</v>
      </c>
      <c r="H5" s="8">
        <v>0.28166015373765202</v>
      </c>
      <c r="I5" s="8">
        <v>18.2987529191746</v>
      </c>
      <c r="J5" s="8">
        <v>66526.708661417302</v>
      </c>
    </row>
    <row r="6" spans="1:11" x14ac:dyDescent="0.25">
      <c r="A6" s="8" t="s">
        <v>14</v>
      </c>
      <c r="B6" s="8">
        <v>249</v>
      </c>
      <c r="C6" s="8">
        <v>5190</v>
      </c>
      <c r="D6" s="8">
        <v>164</v>
      </c>
      <c r="E6" s="8">
        <v>10148</v>
      </c>
      <c r="F6" s="8">
        <v>1534.2544262729</v>
      </c>
      <c r="G6" s="8">
        <v>4.0160642570281103E-2</v>
      </c>
      <c r="H6" s="8">
        <v>0.27989667428794901</v>
      </c>
      <c r="I6" s="8">
        <v>16.4344012543642</v>
      </c>
      <c r="J6" s="8">
        <v>60125.140562248998</v>
      </c>
    </row>
    <row r="7" spans="1:11" x14ac:dyDescent="0.25">
      <c r="A7" s="8" t="s">
        <v>16</v>
      </c>
      <c r="B7" s="8">
        <v>241</v>
      </c>
      <c r="C7" s="8">
        <v>4872</v>
      </c>
      <c r="D7" s="8">
        <v>202</v>
      </c>
      <c r="E7" s="8">
        <v>8679</v>
      </c>
      <c r="F7" s="8">
        <v>1486.56635749477</v>
      </c>
      <c r="G7" s="8">
        <v>6.2240663900414897E-2</v>
      </c>
      <c r="H7" s="8">
        <v>0.275422276062261</v>
      </c>
      <c r="I7" s="8">
        <v>16.322990742354399</v>
      </c>
      <c r="J7" s="8">
        <v>60687.692946058</v>
      </c>
    </row>
    <row r="8" spans="1:11" x14ac:dyDescent="0.25">
      <c r="A8" s="8" t="s">
        <v>17</v>
      </c>
      <c r="B8" s="8">
        <v>229</v>
      </c>
      <c r="C8" s="8">
        <v>3618</v>
      </c>
      <c r="D8" s="8">
        <v>182</v>
      </c>
      <c r="E8" s="8">
        <v>7479</v>
      </c>
      <c r="F8" s="8">
        <v>828.95345198408904</v>
      </c>
      <c r="G8" s="8">
        <v>2.62008733624454E-2</v>
      </c>
      <c r="H8" s="8">
        <v>0.26695670521801201</v>
      </c>
      <c r="I8" s="8">
        <v>17.421290667910501</v>
      </c>
      <c r="J8" s="8">
        <v>66825.074235807799</v>
      </c>
    </row>
    <row r="9" spans="1:11" x14ac:dyDescent="0.25">
      <c r="A9" s="8" t="s">
        <v>15</v>
      </c>
      <c r="B9" s="8">
        <v>227</v>
      </c>
      <c r="C9" s="8">
        <v>13789</v>
      </c>
      <c r="D9" s="8">
        <v>175</v>
      </c>
      <c r="E9" s="8">
        <v>66871</v>
      </c>
      <c r="F9" s="8">
        <v>6381.6998684130203</v>
      </c>
      <c r="G9" s="8">
        <v>6.6079295154184994E-2</v>
      </c>
      <c r="H9" s="8">
        <v>0.265530306131878</v>
      </c>
      <c r="I9" s="8">
        <v>110.981451041241</v>
      </c>
      <c r="J9" s="8">
        <v>427992.59911894199</v>
      </c>
    </row>
    <row r="10" spans="1:11" x14ac:dyDescent="0.25">
      <c r="A10" s="8" t="s">
        <v>49</v>
      </c>
      <c r="B10" s="8">
        <v>222</v>
      </c>
      <c r="C10" s="8">
        <v>3546</v>
      </c>
      <c r="D10" s="8">
        <v>172</v>
      </c>
      <c r="E10" s="8">
        <v>7756</v>
      </c>
      <c r="F10" s="8">
        <v>1269.5699399163</v>
      </c>
      <c r="G10" s="8">
        <v>9.90990990990991E-2</v>
      </c>
      <c r="H10" s="8">
        <v>0.27018968045810499</v>
      </c>
      <c r="I10" s="8">
        <v>19.636382795717701</v>
      </c>
      <c r="J10" s="8">
        <v>74420.518018018003</v>
      </c>
    </row>
    <row r="11" spans="1:11" x14ac:dyDescent="0.25">
      <c r="A11" s="8" t="s">
        <v>92</v>
      </c>
      <c r="B11" s="8">
        <v>202</v>
      </c>
      <c r="C11" s="8">
        <v>4341</v>
      </c>
      <c r="D11" s="8">
        <v>166</v>
      </c>
      <c r="E11" s="8">
        <v>63302</v>
      </c>
      <c r="F11" s="8">
        <v>4362.98064751328</v>
      </c>
      <c r="G11" s="8">
        <v>0.118811881188118</v>
      </c>
      <c r="H11" s="8">
        <v>0.24973234132724001</v>
      </c>
      <c r="I11" s="8">
        <v>20.065189790011502</v>
      </c>
      <c r="J11" s="8">
        <v>82275.103960395994</v>
      </c>
    </row>
    <row r="12" spans="1:11" x14ac:dyDescent="0.25">
      <c r="A12" s="8" t="s">
        <v>93</v>
      </c>
      <c r="B12" s="8">
        <v>196</v>
      </c>
      <c r="C12" s="8">
        <v>5749</v>
      </c>
      <c r="D12" s="8">
        <v>145</v>
      </c>
      <c r="E12" s="8">
        <v>65821</v>
      </c>
      <c r="F12" s="8">
        <v>4777.2819347610202</v>
      </c>
      <c r="G12" s="8">
        <v>0.107142857142857</v>
      </c>
      <c r="H12" s="8">
        <v>0.245931774008775</v>
      </c>
      <c r="I12" s="8">
        <v>19.9738877370857</v>
      </c>
      <c r="J12" s="8">
        <v>83166.403061224497</v>
      </c>
    </row>
    <row r="13" spans="1:11" x14ac:dyDescent="0.25">
      <c r="A13" s="8" t="s">
        <v>94</v>
      </c>
      <c r="B13" s="8">
        <v>171</v>
      </c>
      <c r="C13" s="8">
        <v>3073</v>
      </c>
      <c r="D13" s="8">
        <v>150</v>
      </c>
      <c r="E13" s="8">
        <v>7349</v>
      </c>
      <c r="F13" s="8">
        <v>1476.3830950664401</v>
      </c>
      <c r="G13" s="8">
        <v>0.24561403508771901</v>
      </c>
      <c r="H13" s="8">
        <v>0.21931877791985699</v>
      </c>
      <c r="I13" s="8">
        <v>18.6035289641869</v>
      </c>
      <c r="J13" s="8">
        <v>86859.929824561405</v>
      </c>
    </row>
    <row r="14" spans="1:11" x14ac:dyDescent="0.25">
      <c r="A14" s="8" t="s">
        <v>95</v>
      </c>
      <c r="B14" s="8">
        <v>200</v>
      </c>
      <c r="C14" s="8">
        <v>182</v>
      </c>
      <c r="D14" s="8">
        <v>137</v>
      </c>
      <c r="E14" s="8">
        <v>669</v>
      </c>
      <c r="F14" s="8">
        <v>80.754038753488999</v>
      </c>
      <c r="G14" s="8">
        <v>0.11</v>
      </c>
      <c r="H14" s="8">
        <v>0.26185310826185798</v>
      </c>
      <c r="I14" s="8">
        <v>0.23861620206287801</v>
      </c>
      <c r="J14" s="8">
        <v>933.13</v>
      </c>
    </row>
    <row r="15" spans="1:11" x14ac:dyDescent="0.25">
      <c r="A15" s="8" t="s">
        <v>50</v>
      </c>
      <c r="B15" s="8">
        <v>175</v>
      </c>
      <c r="C15" s="8">
        <v>5920</v>
      </c>
      <c r="D15" s="8">
        <v>90</v>
      </c>
      <c r="E15" s="8">
        <v>15081</v>
      </c>
      <c r="F15" s="8">
        <v>2583.61030501813</v>
      </c>
      <c r="G15" s="8">
        <v>0</v>
      </c>
      <c r="H15" s="8">
        <v>0.26027529689974899</v>
      </c>
      <c r="I15" s="8">
        <v>19.8306915003383</v>
      </c>
      <c r="J15" s="8">
        <v>78019.8057142857</v>
      </c>
    </row>
    <row r="16" spans="1:11" x14ac:dyDescent="0.25">
      <c r="A16" s="8" t="s">
        <v>51</v>
      </c>
      <c r="B16" s="8">
        <v>156</v>
      </c>
      <c r="C16" s="8">
        <v>3573</v>
      </c>
      <c r="D16" s="8">
        <v>80</v>
      </c>
      <c r="E16" s="8">
        <v>62676</v>
      </c>
      <c r="F16" s="8">
        <v>4874.9173580673596</v>
      </c>
      <c r="G16" s="8">
        <v>7.69230769230769E-2</v>
      </c>
      <c r="H16" s="8">
        <v>0.23422368361785501</v>
      </c>
      <c r="I16" s="8">
        <v>18.638128514293602</v>
      </c>
      <c r="J16" s="8">
        <v>81483.833333333299</v>
      </c>
    </row>
    <row r="17" spans="1:10" x14ac:dyDescent="0.25">
      <c r="A17" s="8" t="s">
        <v>96</v>
      </c>
      <c r="B17" s="8">
        <v>197</v>
      </c>
      <c r="C17" s="8">
        <v>168</v>
      </c>
      <c r="D17" s="8">
        <v>145</v>
      </c>
      <c r="E17" s="8">
        <v>871</v>
      </c>
      <c r="F17" s="8">
        <v>65.838239745419898</v>
      </c>
      <c r="G17" s="8">
        <v>3.0456852791878101E-2</v>
      </c>
      <c r="H17" s="8">
        <v>0.29291676703154801</v>
      </c>
      <c r="I17" s="8">
        <v>0.19449906818641399</v>
      </c>
      <c r="J17" s="8">
        <v>679.94416243654803</v>
      </c>
    </row>
    <row r="18" spans="1:10" x14ac:dyDescent="0.25">
      <c r="A18" s="8" t="s">
        <v>52</v>
      </c>
      <c r="B18" s="8">
        <v>191</v>
      </c>
      <c r="C18" s="8">
        <v>2338</v>
      </c>
      <c r="D18" s="8">
        <v>83</v>
      </c>
      <c r="E18" s="8">
        <v>6593</v>
      </c>
      <c r="F18" s="8">
        <v>861.46200938787501</v>
      </c>
      <c r="G18" s="8">
        <v>0</v>
      </c>
      <c r="H18" s="8">
        <v>0.283205890682526</v>
      </c>
      <c r="I18" s="8">
        <v>18.465716506733099</v>
      </c>
      <c r="J18" s="8">
        <v>66767.303664921405</v>
      </c>
    </row>
    <row r="19" spans="1:10" x14ac:dyDescent="0.25">
      <c r="A19" s="8" t="s">
        <v>53</v>
      </c>
      <c r="B19" s="8">
        <v>177</v>
      </c>
      <c r="C19" s="8">
        <v>2545</v>
      </c>
      <c r="D19" s="8">
        <v>84</v>
      </c>
      <c r="E19" s="8">
        <v>4643</v>
      </c>
      <c r="F19" s="8">
        <v>854.25634540665101</v>
      </c>
      <c r="G19" s="8">
        <v>7.9096045197740106E-2</v>
      </c>
      <c r="H19" s="8">
        <v>0.26225097269922898</v>
      </c>
      <c r="I19" s="8">
        <v>18.325518857808099</v>
      </c>
      <c r="J19" s="8">
        <v>71554.858757062102</v>
      </c>
    </row>
    <row r="20" spans="1:10" x14ac:dyDescent="0.25">
      <c r="A20" s="8" t="s">
        <v>97</v>
      </c>
      <c r="B20" s="8">
        <v>197</v>
      </c>
      <c r="C20" s="8">
        <v>194</v>
      </c>
      <c r="D20" s="8">
        <v>141</v>
      </c>
      <c r="E20" s="8">
        <v>950</v>
      </c>
      <c r="F20" s="8">
        <v>107.262376432867</v>
      </c>
      <c r="G20" s="8">
        <v>0.10152284263959301</v>
      </c>
      <c r="H20" s="8">
        <v>0.29114060613405102</v>
      </c>
      <c r="I20" s="8">
        <v>0.25763305412037801</v>
      </c>
      <c r="J20" s="8">
        <v>906.14720812182702</v>
      </c>
    </row>
    <row r="21" spans="1:10" x14ac:dyDescent="0.25">
      <c r="A21" s="8" t="s">
        <v>54</v>
      </c>
      <c r="B21" s="8">
        <v>177</v>
      </c>
      <c r="C21" s="8">
        <v>2354</v>
      </c>
      <c r="D21" s="8">
        <v>100</v>
      </c>
      <c r="E21" s="8">
        <v>4040</v>
      </c>
      <c r="F21" s="8">
        <v>450.15871736817502</v>
      </c>
      <c r="G21" s="8">
        <v>0</v>
      </c>
      <c r="H21" s="8">
        <v>0.26079000216588299</v>
      </c>
      <c r="I21" s="8">
        <v>17.9809503585494</v>
      </c>
      <c r="J21" s="8">
        <v>70602.757062146804</v>
      </c>
    </row>
    <row r="22" spans="1:10" x14ac:dyDescent="0.25">
      <c r="A22" s="8" t="s">
        <v>98</v>
      </c>
      <c r="B22" s="8">
        <v>196</v>
      </c>
      <c r="C22" s="8">
        <v>166</v>
      </c>
      <c r="D22" s="8">
        <v>144</v>
      </c>
      <c r="E22" s="8">
        <v>541</v>
      </c>
      <c r="F22" s="8">
        <v>55.049743701032298</v>
      </c>
      <c r="G22" s="8">
        <v>5.6122448979591802E-2</v>
      </c>
      <c r="H22" s="8">
        <v>0.28632198952879501</v>
      </c>
      <c r="I22" s="8">
        <v>0.210059429160141</v>
      </c>
      <c r="J22" s="8">
        <v>751.25510204081604</v>
      </c>
    </row>
    <row r="23" spans="1:10" x14ac:dyDescent="0.25">
      <c r="A23" s="8" t="s">
        <v>99</v>
      </c>
      <c r="B23" s="8">
        <v>163</v>
      </c>
      <c r="C23" s="8">
        <v>2465</v>
      </c>
      <c r="D23" s="8">
        <v>89</v>
      </c>
      <c r="E23" s="8">
        <v>4853</v>
      </c>
      <c r="F23" s="8">
        <v>490.01792304615799</v>
      </c>
      <c r="G23" s="8">
        <v>1.84049079754601E-2</v>
      </c>
      <c r="H23" s="8">
        <v>0.24002497437770201</v>
      </c>
      <c r="I23" s="8">
        <v>16.338360746768402</v>
      </c>
      <c r="J23" s="8">
        <v>69703.085889570502</v>
      </c>
    </row>
    <row r="24" spans="1:10" x14ac:dyDescent="0.25">
      <c r="A24" s="8" t="s">
        <v>100</v>
      </c>
      <c r="B24" s="8">
        <v>184</v>
      </c>
      <c r="C24" s="8">
        <v>4018</v>
      </c>
      <c r="D24" s="8">
        <v>138</v>
      </c>
      <c r="E24" s="8">
        <v>5851</v>
      </c>
      <c r="F24" s="8">
        <v>760.44513470764002</v>
      </c>
      <c r="G24" s="8">
        <v>0</v>
      </c>
      <c r="H24" s="8">
        <v>0.27502585840951299</v>
      </c>
      <c r="I24" s="8">
        <v>16.662861492250698</v>
      </c>
      <c r="J24" s="8">
        <v>62040.603260869502</v>
      </c>
    </row>
    <row r="25" spans="1:10" x14ac:dyDescent="0.25">
      <c r="A25" s="8" t="s">
        <v>58</v>
      </c>
      <c r="B25" s="8">
        <v>178</v>
      </c>
      <c r="C25" s="8">
        <v>3432</v>
      </c>
      <c r="D25" s="8">
        <v>84</v>
      </c>
      <c r="E25" s="8">
        <v>61997</v>
      </c>
      <c r="F25" s="8">
        <v>6268.6274827195102</v>
      </c>
      <c r="G25" s="8">
        <v>4.49438202247191E-2</v>
      </c>
      <c r="H25" s="8">
        <v>0.268078345143339</v>
      </c>
      <c r="I25" s="8">
        <v>17.5848037206224</v>
      </c>
      <c r="J25" s="8">
        <v>67170.061797752802</v>
      </c>
    </row>
    <row r="26" spans="1:10" x14ac:dyDescent="0.25">
      <c r="A26" s="8" t="s">
        <v>101</v>
      </c>
      <c r="B26" s="8">
        <v>194</v>
      </c>
      <c r="C26" s="8">
        <v>7275</v>
      </c>
      <c r="D26" s="8">
        <v>0</v>
      </c>
      <c r="E26" s="8">
        <v>64189</v>
      </c>
      <c r="F26" s="8">
        <v>5118.5003110960297</v>
      </c>
      <c r="G26" s="8">
        <v>6.1855670103092703E-2</v>
      </c>
      <c r="H26" s="8">
        <v>0.29428317018820399</v>
      </c>
      <c r="I26" s="8">
        <v>19.7277138212783</v>
      </c>
      <c r="J26" s="8">
        <v>68645.376288659798</v>
      </c>
    </row>
    <row r="27" spans="1:10" x14ac:dyDescent="0.25">
      <c r="A27" s="8" t="s">
        <v>102</v>
      </c>
      <c r="B27" s="8">
        <v>188</v>
      </c>
      <c r="C27" s="8">
        <v>217</v>
      </c>
      <c r="D27" s="8">
        <v>175</v>
      </c>
      <c r="E27" s="8">
        <v>769</v>
      </c>
      <c r="F27" s="8">
        <v>71.806810657576406</v>
      </c>
      <c r="G27" s="8">
        <v>2.1276595744680799E-2</v>
      </c>
      <c r="H27" s="8">
        <v>0.29597955851815</v>
      </c>
      <c r="I27" s="8">
        <v>1.30862471445057</v>
      </c>
      <c r="J27" s="8">
        <v>4527.44680851063</v>
      </c>
    </row>
    <row r="28" spans="1:10" x14ac:dyDescent="0.25">
      <c r="A28" s="8" t="s">
        <v>103</v>
      </c>
      <c r="B28" s="8">
        <v>185</v>
      </c>
      <c r="C28" s="8">
        <v>211</v>
      </c>
      <c r="D28" s="8">
        <v>169</v>
      </c>
      <c r="E28" s="8">
        <v>529</v>
      </c>
      <c r="F28" s="8">
        <v>56.7389943891773</v>
      </c>
      <c r="G28" s="8">
        <v>5.94594594594594E-2</v>
      </c>
      <c r="H28" s="8">
        <v>0.29645773073625598</v>
      </c>
      <c r="I28" s="8">
        <v>1.14477534563365</v>
      </c>
      <c r="J28" s="8">
        <v>3954.1891891891801</v>
      </c>
    </row>
    <row r="29" spans="1:10" x14ac:dyDescent="0.25">
      <c r="A29" s="8" t="s">
        <v>104</v>
      </c>
      <c r="B29" s="8">
        <v>182</v>
      </c>
      <c r="C29" s="8">
        <v>203</v>
      </c>
      <c r="D29" s="8">
        <v>160</v>
      </c>
      <c r="E29" s="8">
        <v>585</v>
      </c>
      <c r="F29" s="8">
        <v>58.898866203378397</v>
      </c>
      <c r="G29" s="8">
        <v>2.19780219780219E-2</v>
      </c>
      <c r="H29" s="8">
        <v>0.29633826850526601</v>
      </c>
      <c r="I29" s="8">
        <v>0.58097679789404399</v>
      </c>
      <c r="J29" s="8">
        <v>2007.57142857142</v>
      </c>
    </row>
    <row r="30" spans="1:10" x14ac:dyDescent="0.25">
      <c r="A30" s="8" t="s">
        <v>105</v>
      </c>
      <c r="B30" s="8">
        <v>179</v>
      </c>
      <c r="C30" s="8">
        <v>197</v>
      </c>
      <c r="D30" s="8">
        <v>156</v>
      </c>
      <c r="E30" s="8">
        <v>554</v>
      </c>
      <c r="F30" s="8">
        <v>44.362000395101298</v>
      </c>
      <c r="G30" s="8">
        <v>1.11731843575419E-2</v>
      </c>
      <c r="H30" s="8">
        <v>0.29655990510083002</v>
      </c>
      <c r="I30" s="8">
        <v>0.50097875641165801</v>
      </c>
      <c r="J30" s="8">
        <v>1729.84357541899</v>
      </c>
    </row>
    <row r="31" spans="1:10" x14ac:dyDescent="0.25">
      <c r="A31" s="8" t="s">
        <v>106</v>
      </c>
      <c r="B31" s="8">
        <v>177</v>
      </c>
      <c r="C31" s="8">
        <v>318</v>
      </c>
      <c r="D31" s="8">
        <v>135</v>
      </c>
      <c r="E31" s="8">
        <v>4182</v>
      </c>
      <c r="F31" s="8">
        <v>739.848168042525</v>
      </c>
      <c r="G31" s="8">
        <v>5.0847457627118599E-2</v>
      </c>
      <c r="H31" s="8">
        <v>0.29824641219676101</v>
      </c>
      <c r="I31" s="8">
        <v>0.87841572179844196</v>
      </c>
      <c r="J31" s="8">
        <v>3015.9548022598801</v>
      </c>
    </row>
    <row r="32" spans="1:10" x14ac:dyDescent="0.25">
      <c r="A32" s="8" t="s">
        <v>55</v>
      </c>
      <c r="B32" s="8">
        <v>173</v>
      </c>
      <c r="C32" s="8">
        <v>1972</v>
      </c>
      <c r="D32" s="8">
        <v>0</v>
      </c>
      <c r="E32" s="8">
        <v>5388</v>
      </c>
      <c r="F32" s="8">
        <v>652.48933359000398</v>
      </c>
      <c r="G32" s="8">
        <v>6.3583815028901702E-2</v>
      </c>
      <c r="H32" s="8">
        <v>0.29711557452362702</v>
      </c>
      <c r="I32" s="8">
        <v>16.7170530305144</v>
      </c>
      <c r="J32" s="8">
        <v>57614.826589595301</v>
      </c>
    </row>
    <row r="33" spans="1:10" x14ac:dyDescent="0.25">
      <c r="A33" s="8" t="s">
        <v>20</v>
      </c>
      <c r="B33" s="8">
        <v>6257</v>
      </c>
      <c r="C33" s="8">
        <v>3558</v>
      </c>
      <c r="D33" s="8">
        <v>0</v>
      </c>
      <c r="E33" s="8">
        <v>69430</v>
      </c>
      <c r="F33" s="8">
        <v>4213.4906405293596</v>
      </c>
      <c r="G33" s="8">
        <v>5.1782004155345999E-2</v>
      </c>
      <c r="H33" s="8">
        <v>6.53884378360471</v>
      </c>
      <c r="I33" s="8">
        <v>670.05889422072005</v>
      </c>
      <c r="J33" s="8">
        <v>104932.97139204</v>
      </c>
    </row>
    <row r="34" spans="1:10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25">
      <c r="A35" s="8" t="s">
        <v>108</v>
      </c>
    </row>
    <row r="36" spans="1:10" x14ac:dyDescent="0.25">
      <c r="A36" t="s">
        <v>10</v>
      </c>
      <c r="B36">
        <v>1522</v>
      </c>
      <c r="C36">
        <v>72046</v>
      </c>
      <c r="D36">
        <v>133</v>
      </c>
      <c r="E36">
        <v>174317</v>
      </c>
      <c r="F36">
        <v>45569.458162423398</v>
      </c>
      <c r="G36">
        <v>0</v>
      </c>
      <c r="H36">
        <v>0.50046149652455396</v>
      </c>
      <c r="I36">
        <v>392.07961040340501</v>
      </c>
      <c r="J36">
        <v>802238.58147174702</v>
      </c>
    </row>
    <row r="37" spans="1:10" x14ac:dyDescent="0.25">
      <c r="A37" t="s">
        <v>11</v>
      </c>
      <c r="B37">
        <v>1478</v>
      </c>
      <c r="C37">
        <v>7947</v>
      </c>
      <c r="D37">
        <v>143</v>
      </c>
      <c r="E37">
        <v>63479</v>
      </c>
      <c r="F37">
        <v>5668.0456404466904</v>
      </c>
      <c r="G37">
        <v>0.199594046008119</v>
      </c>
      <c r="H37">
        <v>0.49478517184411203</v>
      </c>
      <c r="I37">
        <v>117.006499103034</v>
      </c>
      <c r="J37">
        <v>242154.90257104099</v>
      </c>
    </row>
    <row r="38" spans="1:10" x14ac:dyDescent="0.25">
      <c r="A38" t="s">
        <v>12</v>
      </c>
      <c r="B38">
        <v>1468</v>
      </c>
      <c r="C38">
        <v>6383</v>
      </c>
      <c r="D38">
        <v>145</v>
      </c>
      <c r="E38">
        <v>61147</v>
      </c>
      <c r="F38">
        <v>5679.2636053165497</v>
      </c>
      <c r="G38">
        <v>0</v>
      </c>
      <c r="H38">
        <v>0.49489012461589499</v>
      </c>
      <c r="I38">
        <v>55.347402113923302</v>
      </c>
      <c r="J38">
        <v>114521.86444141599</v>
      </c>
    </row>
    <row r="39" spans="1:10" x14ac:dyDescent="0.25">
      <c r="A39" t="s">
        <v>13</v>
      </c>
      <c r="B39">
        <v>1458</v>
      </c>
      <c r="C39">
        <v>10294</v>
      </c>
      <c r="D39">
        <v>143</v>
      </c>
      <c r="E39">
        <v>29518</v>
      </c>
      <c r="F39">
        <v>6728.7426217657103</v>
      </c>
      <c r="G39">
        <v>0.23182441700960199</v>
      </c>
      <c r="H39">
        <v>0.49214957296404299</v>
      </c>
      <c r="I39">
        <v>38.960218376288601</v>
      </c>
      <c r="J39">
        <v>81063.290123456696</v>
      </c>
    </row>
    <row r="40" spans="1:10" x14ac:dyDescent="0.25">
      <c r="A40" t="s">
        <v>14</v>
      </c>
      <c r="B40">
        <v>1452</v>
      </c>
      <c r="C40">
        <v>24346</v>
      </c>
      <c r="D40">
        <v>59</v>
      </c>
      <c r="E40">
        <v>72310</v>
      </c>
      <c r="F40">
        <v>17716.449630956398</v>
      </c>
      <c r="G40">
        <v>0.21349862258953101</v>
      </c>
      <c r="H40">
        <v>0.48935962978528402</v>
      </c>
      <c r="I40">
        <v>33.790368206785899</v>
      </c>
      <c r="J40">
        <v>70707.379476583999</v>
      </c>
    </row>
    <row r="41" spans="1:10" x14ac:dyDescent="0.25">
      <c r="A41" t="s">
        <v>16</v>
      </c>
      <c r="B41">
        <v>1435</v>
      </c>
      <c r="C41">
        <v>21754</v>
      </c>
      <c r="D41">
        <v>164</v>
      </c>
      <c r="E41">
        <v>66066</v>
      </c>
      <c r="F41">
        <v>14635.4865627492</v>
      </c>
      <c r="G41">
        <v>0.201393728222996</v>
      </c>
      <c r="H41">
        <v>0.48631423626467202</v>
      </c>
      <c r="I41">
        <v>34.759745569965297</v>
      </c>
      <c r="J41">
        <v>73191.317073170707</v>
      </c>
    </row>
    <row r="42" spans="1:10" x14ac:dyDescent="0.25">
      <c r="A42" t="s">
        <v>17</v>
      </c>
      <c r="B42">
        <v>1420</v>
      </c>
      <c r="C42">
        <v>4161</v>
      </c>
      <c r="D42">
        <v>152</v>
      </c>
      <c r="E42">
        <v>61780</v>
      </c>
      <c r="F42">
        <v>3195.1653676875098</v>
      </c>
      <c r="G42">
        <v>0.224647887323943</v>
      </c>
      <c r="H42">
        <v>0.48804311551602397</v>
      </c>
      <c r="I42">
        <v>32.025226590449101</v>
      </c>
      <c r="J42">
        <v>67194.5387323943</v>
      </c>
    </row>
    <row r="43" spans="1:10" x14ac:dyDescent="0.25">
      <c r="A43" t="s">
        <v>15</v>
      </c>
      <c r="B43">
        <v>1418</v>
      </c>
      <c r="C43">
        <v>46256</v>
      </c>
      <c r="D43">
        <v>143</v>
      </c>
      <c r="E43">
        <v>104962</v>
      </c>
      <c r="F43">
        <v>31846.7675435522</v>
      </c>
      <c r="G43">
        <v>0.19464033850493601</v>
      </c>
      <c r="H43">
        <v>0.48276958578846102</v>
      </c>
      <c r="I43">
        <v>188.85702509169801</v>
      </c>
      <c r="J43">
        <v>400583.631170662</v>
      </c>
    </row>
    <row r="44" spans="1:10" x14ac:dyDescent="0.25">
      <c r="A44" t="s">
        <v>49</v>
      </c>
      <c r="B44">
        <v>1395</v>
      </c>
      <c r="C44">
        <v>4397</v>
      </c>
      <c r="D44">
        <v>27</v>
      </c>
      <c r="E44">
        <v>60498</v>
      </c>
      <c r="F44">
        <v>2867.1320420676002</v>
      </c>
      <c r="G44">
        <v>0.197132616487455</v>
      </c>
      <c r="H44">
        <v>0.485692271643683</v>
      </c>
      <c r="I44">
        <v>34.712674655006097</v>
      </c>
      <c r="J44">
        <v>73185.802867383507</v>
      </c>
    </row>
    <row r="45" spans="1:10" x14ac:dyDescent="0.25">
      <c r="A45" t="s">
        <v>92</v>
      </c>
      <c r="B45">
        <v>1116</v>
      </c>
      <c r="C45">
        <v>7998</v>
      </c>
      <c r="D45">
        <v>137</v>
      </c>
      <c r="E45">
        <v>21341</v>
      </c>
      <c r="F45">
        <v>5696.8174440019302</v>
      </c>
      <c r="G45">
        <v>0.30555555555555503</v>
      </c>
      <c r="H45">
        <v>0.38911469085779199</v>
      </c>
      <c r="I45">
        <v>24.9494714492761</v>
      </c>
      <c r="J45">
        <v>65657.399641576994</v>
      </c>
    </row>
    <row r="46" spans="1:10" x14ac:dyDescent="0.25">
      <c r="A46" t="s">
        <v>93</v>
      </c>
      <c r="B46">
        <v>1113</v>
      </c>
      <c r="C46">
        <v>26919</v>
      </c>
      <c r="D46">
        <v>130</v>
      </c>
      <c r="E46">
        <v>83775</v>
      </c>
      <c r="F46">
        <v>18128.687334702601</v>
      </c>
      <c r="G46">
        <v>0.23180592991913701</v>
      </c>
      <c r="H46">
        <v>0.38640144645371599</v>
      </c>
      <c r="I46">
        <v>28.224075922177601</v>
      </c>
      <c r="J46">
        <v>74796.442946990093</v>
      </c>
    </row>
    <row r="47" spans="1:10" x14ac:dyDescent="0.25">
      <c r="A47" t="s">
        <v>94</v>
      </c>
      <c r="B47">
        <v>953</v>
      </c>
      <c r="C47">
        <v>15799</v>
      </c>
      <c r="D47">
        <v>126</v>
      </c>
      <c r="E47">
        <v>59924</v>
      </c>
      <c r="F47">
        <v>11252.651208052001</v>
      </c>
      <c r="G47">
        <v>0.35257082896117498</v>
      </c>
      <c r="H47">
        <v>0.33370906242460402</v>
      </c>
      <c r="I47">
        <v>27.7494255429819</v>
      </c>
      <c r="J47">
        <v>85150.254984260202</v>
      </c>
    </row>
    <row r="48" spans="1:10" x14ac:dyDescent="0.25">
      <c r="A48" t="s">
        <v>95</v>
      </c>
      <c r="B48">
        <v>1134</v>
      </c>
      <c r="C48">
        <v>290</v>
      </c>
      <c r="D48">
        <v>133</v>
      </c>
      <c r="E48">
        <v>1866</v>
      </c>
      <c r="F48">
        <v>238.354412348409</v>
      </c>
      <c r="G48">
        <v>0.23985890652557301</v>
      </c>
      <c r="H48">
        <v>0.40222051260769698</v>
      </c>
      <c r="I48">
        <v>0.52837441373877403</v>
      </c>
      <c r="J48">
        <v>1345.1710758377401</v>
      </c>
    </row>
    <row r="49" spans="1:10" x14ac:dyDescent="0.25">
      <c r="A49" t="s">
        <v>50</v>
      </c>
      <c r="B49">
        <v>857</v>
      </c>
      <c r="C49">
        <v>38057</v>
      </c>
      <c r="D49">
        <v>82</v>
      </c>
      <c r="E49">
        <v>63213</v>
      </c>
      <c r="F49">
        <v>26363.1409125682</v>
      </c>
      <c r="G49">
        <v>0</v>
      </c>
      <c r="H49">
        <v>0.29990023155657303</v>
      </c>
      <c r="I49">
        <v>8.7737891068852107</v>
      </c>
      <c r="J49">
        <v>29957.829638273</v>
      </c>
    </row>
    <row r="50" spans="1:10" x14ac:dyDescent="0.25">
      <c r="A50" t="s">
        <v>51</v>
      </c>
      <c r="B50">
        <v>223</v>
      </c>
      <c r="C50">
        <v>11187</v>
      </c>
      <c r="D50">
        <v>73</v>
      </c>
      <c r="E50">
        <v>34498</v>
      </c>
      <c r="F50">
        <v>8260.1153883173702</v>
      </c>
      <c r="G50">
        <v>0.224215246636771</v>
      </c>
      <c r="H50">
        <v>7.9365418316257305E-2</v>
      </c>
      <c r="I50">
        <v>6.3296166327762098</v>
      </c>
      <c r="J50">
        <v>81666.896860986497</v>
      </c>
    </row>
    <row r="51" spans="1:10" x14ac:dyDescent="0.25">
      <c r="A51" t="s">
        <v>96</v>
      </c>
      <c r="B51">
        <v>1111</v>
      </c>
      <c r="C51">
        <v>420</v>
      </c>
      <c r="D51">
        <v>133</v>
      </c>
      <c r="E51">
        <v>4917</v>
      </c>
      <c r="F51">
        <v>630.54205604817196</v>
      </c>
      <c r="G51">
        <v>0.16741674167416701</v>
      </c>
      <c r="H51">
        <v>0.39943123293384197</v>
      </c>
      <c r="I51">
        <v>0.43527374555313603</v>
      </c>
      <c r="J51">
        <v>1115.8874887488701</v>
      </c>
    </row>
    <row r="52" spans="1:10" x14ac:dyDescent="0.25">
      <c r="A52" t="s">
        <v>52</v>
      </c>
      <c r="B52">
        <v>917</v>
      </c>
      <c r="C52">
        <v>7090</v>
      </c>
      <c r="D52">
        <v>84</v>
      </c>
      <c r="E52">
        <v>44001</v>
      </c>
      <c r="F52">
        <v>7679.1154338912102</v>
      </c>
      <c r="G52">
        <v>0</v>
      </c>
      <c r="H52">
        <v>0.33035711712438698</v>
      </c>
      <c r="I52">
        <v>27.9651316669677</v>
      </c>
      <c r="J52">
        <v>86682.845147219195</v>
      </c>
    </row>
    <row r="53" spans="1:10" x14ac:dyDescent="0.25">
      <c r="A53" t="s">
        <v>53</v>
      </c>
      <c r="B53">
        <v>771</v>
      </c>
      <c r="C53">
        <v>10050</v>
      </c>
      <c r="D53">
        <v>84</v>
      </c>
      <c r="E53">
        <v>31500</v>
      </c>
      <c r="F53">
        <v>6724.5565618168102</v>
      </c>
      <c r="G53">
        <v>0.215304798962386</v>
      </c>
      <c r="H53">
        <v>0.27813321029576199</v>
      </c>
      <c r="I53">
        <v>20.984712892619601</v>
      </c>
      <c r="J53">
        <v>77259.188067444804</v>
      </c>
    </row>
    <row r="54" spans="1:10" x14ac:dyDescent="0.25">
      <c r="A54" t="s">
        <v>97</v>
      </c>
      <c r="B54">
        <v>1090</v>
      </c>
      <c r="C54">
        <v>281</v>
      </c>
      <c r="D54">
        <v>133</v>
      </c>
      <c r="E54">
        <v>3162</v>
      </c>
      <c r="F54">
        <v>242.46912644642001</v>
      </c>
      <c r="G54">
        <v>0.23394495412843999</v>
      </c>
      <c r="H54">
        <v>0.3960862319699</v>
      </c>
      <c r="I54">
        <v>0.51353770902178997</v>
      </c>
      <c r="J54">
        <v>1327.6467889908199</v>
      </c>
    </row>
    <row r="55" spans="1:10" x14ac:dyDescent="0.25">
      <c r="A55" t="s">
        <v>54</v>
      </c>
      <c r="B55">
        <v>829</v>
      </c>
      <c r="C55">
        <v>6877</v>
      </c>
      <c r="D55">
        <v>90</v>
      </c>
      <c r="E55">
        <v>61855</v>
      </c>
      <c r="F55">
        <v>6588.84649087452</v>
      </c>
      <c r="G55">
        <v>0</v>
      </c>
      <c r="H55">
        <v>0.30199231139960803</v>
      </c>
      <c r="I55">
        <v>26.391053507372899</v>
      </c>
      <c r="J55">
        <v>89487.174909529494</v>
      </c>
    </row>
    <row r="56" spans="1:10" x14ac:dyDescent="0.25">
      <c r="A56" t="s">
        <v>98</v>
      </c>
      <c r="B56">
        <v>1075</v>
      </c>
      <c r="C56">
        <v>249</v>
      </c>
      <c r="D56">
        <v>136</v>
      </c>
      <c r="E56">
        <v>1300</v>
      </c>
      <c r="F56">
        <v>180.777750905631</v>
      </c>
      <c r="G56">
        <v>0.19813953488371999</v>
      </c>
      <c r="H56">
        <v>0.39397060063108502</v>
      </c>
      <c r="I56">
        <v>0.46355322428288098</v>
      </c>
      <c r="J56">
        <v>1204.8576744186</v>
      </c>
    </row>
    <row r="57" spans="1:10" x14ac:dyDescent="0.25">
      <c r="A57" t="s">
        <v>99</v>
      </c>
      <c r="B57">
        <v>617</v>
      </c>
      <c r="C57">
        <v>7414</v>
      </c>
      <c r="D57">
        <v>83</v>
      </c>
      <c r="E57">
        <v>28307</v>
      </c>
      <c r="F57">
        <v>4953.49984143643</v>
      </c>
      <c r="G57">
        <v>0.20583468395461901</v>
      </c>
      <c r="H57">
        <v>0.22515824026245301</v>
      </c>
      <c r="I57">
        <v>18.7860818816952</v>
      </c>
      <c r="J57">
        <v>85437.458670988606</v>
      </c>
    </row>
    <row r="58" spans="1:10" x14ac:dyDescent="0.25">
      <c r="A58" t="s">
        <v>100</v>
      </c>
      <c r="B58">
        <v>860</v>
      </c>
      <c r="C58">
        <v>10156</v>
      </c>
      <c r="D58">
        <v>153</v>
      </c>
      <c r="E58">
        <v>48466</v>
      </c>
      <c r="F58">
        <v>6291.2279311765396</v>
      </c>
      <c r="G58">
        <v>0</v>
      </c>
      <c r="H58">
        <v>0.31598885220723699</v>
      </c>
      <c r="I58">
        <v>26.2098166983344</v>
      </c>
      <c r="J58">
        <v>84936.073255813899</v>
      </c>
    </row>
    <row r="59" spans="1:10" x14ac:dyDescent="0.25">
      <c r="A59" t="s">
        <v>101</v>
      </c>
      <c r="B59">
        <v>1281</v>
      </c>
      <c r="C59">
        <v>36996</v>
      </c>
      <c r="D59">
        <v>0</v>
      </c>
      <c r="E59">
        <v>89565</v>
      </c>
      <c r="F59">
        <v>26849.701356884401</v>
      </c>
      <c r="G59">
        <v>0.24668227946916399</v>
      </c>
      <c r="H59">
        <v>0.462993751572227</v>
      </c>
      <c r="I59">
        <v>31.294967867158299</v>
      </c>
      <c r="J59">
        <v>69214.858704137398</v>
      </c>
    </row>
    <row r="60" spans="1:10" x14ac:dyDescent="0.25">
      <c r="A60" t="s">
        <v>58</v>
      </c>
      <c r="B60">
        <v>696</v>
      </c>
      <c r="C60">
        <v>7391</v>
      </c>
      <c r="D60">
        <v>84</v>
      </c>
      <c r="E60">
        <v>27170</v>
      </c>
      <c r="F60">
        <v>5708.9457207412797</v>
      </c>
      <c r="G60">
        <v>0.31034482758620602</v>
      </c>
      <c r="H60">
        <v>0.25693275449632302</v>
      </c>
      <c r="I60">
        <v>20.746216061850198</v>
      </c>
      <c r="J60">
        <v>82683.600574712604</v>
      </c>
    </row>
    <row r="61" spans="1:10" x14ac:dyDescent="0.25">
      <c r="A61" t="s">
        <v>102</v>
      </c>
      <c r="B61">
        <v>1034</v>
      </c>
      <c r="C61">
        <v>662</v>
      </c>
      <c r="D61">
        <v>143</v>
      </c>
      <c r="E61">
        <v>10926</v>
      </c>
      <c r="F61">
        <v>744.09314910721798</v>
      </c>
      <c r="G61">
        <v>0.18858800773694301</v>
      </c>
      <c r="H61">
        <v>0.38389169650428301</v>
      </c>
      <c r="I61">
        <v>1.64850893149185</v>
      </c>
      <c r="J61">
        <v>4397.2640232108297</v>
      </c>
    </row>
    <row r="62" spans="1:10" x14ac:dyDescent="0.25">
      <c r="A62" t="s">
        <v>103</v>
      </c>
      <c r="B62">
        <v>1030</v>
      </c>
      <c r="C62">
        <v>632</v>
      </c>
      <c r="D62">
        <v>156</v>
      </c>
      <c r="E62">
        <v>6343</v>
      </c>
      <c r="F62">
        <v>604.53564934818405</v>
      </c>
      <c r="G62">
        <v>0.177669902912621</v>
      </c>
      <c r="H62">
        <v>0.38504255467884602</v>
      </c>
      <c r="I62">
        <v>1.44031623407166</v>
      </c>
      <c r="J62">
        <v>3830.4436893203801</v>
      </c>
    </row>
    <row r="63" spans="1:10" x14ac:dyDescent="0.25">
      <c r="A63" t="s">
        <v>104</v>
      </c>
      <c r="B63">
        <v>1028</v>
      </c>
      <c r="C63">
        <v>608</v>
      </c>
      <c r="D63">
        <v>141</v>
      </c>
      <c r="E63">
        <v>12044</v>
      </c>
      <c r="F63">
        <v>691.14869950414095</v>
      </c>
      <c r="G63">
        <v>0.19163424124513601</v>
      </c>
      <c r="H63">
        <v>0.38588269916689799</v>
      </c>
      <c r="I63">
        <v>0.85907024463386505</v>
      </c>
      <c r="J63">
        <v>2279.6770428015502</v>
      </c>
    </row>
    <row r="64" spans="1:10" x14ac:dyDescent="0.25">
      <c r="A64" t="s">
        <v>105</v>
      </c>
      <c r="B64">
        <v>1025</v>
      </c>
      <c r="C64">
        <v>535</v>
      </c>
      <c r="D64">
        <v>58</v>
      </c>
      <c r="E64">
        <v>5576</v>
      </c>
      <c r="F64">
        <v>513.58967558808195</v>
      </c>
      <c r="G64">
        <v>0.17073170731707299</v>
      </c>
      <c r="H64">
        <v>0.386290566633615</v>
      </c>
      <c r="I64">
        <v>0.71096013274074399</v>
      </c>
      <c r="J64">
        <v>1884.6517073170701</v>
      </c>
    </row>
    <row r="65" spans="1:10" x14ac:dyDescent="0.25">
      <c r="A65" t="s">
        <v>106</v>
      </c>
      <c r="B65">
        <v>1018</v>
      </c>
      <c r="C65">
        <v>1788</v>
      </c>
      <c r="D65">
        <v>131</v>
      </c>
      <c r="E65">
        <v>16993</v>
      </c>
      <c r="F65">
        <v>3370.1701255995499</v>
      </c>
      <c r="G65">
        <v>0.40667976424361402</v>
      </c>
      <c r="H65">
        <v>0.386012250769938</v>
      </c>
      <c r="I65">
        <v>6.6499818807916</v>
      </c>
      <c r="J65">
        <v>17640.842829076599</v>
      </c>
    </row>
    <row r="66" spans="1:10" x14ac:dyDescent="0.25">
      <c r="A66" t="s">
        <v>55</v>
      </c>
      <c r="B66">
        <v>1012</v>
      </c>
      <c r="C66">
        <v>1979</v>
      </c>
      <c r="D66">
        <v>0</v>
      </c>
      <c r="E66">
        <v>19092</v>
      </c>
      <c r="F66">
        <v>2313.0718449926699</v>
      </c>
      <c r="G66">
        <v>0.497035573122529</v>
      </c>
      <c r="H66">
        <v>0.38525200506157098</v>
      </c>
      <c r="I66">
        <v>17.059363394497399</v>
      </c>
      <c r="J66">
        <v>45343.795454545398</v>
      </c>
    </row>
    <row r="67" spans="1:10" x14ac:dyDescent="0.25">
      <c r="A67" t="s">
        <v>20</v>
      </c>
      <c r="B67">
        <v>33836</v>
      </c>
      <c r="C67">
        <v>13965</v>
      </c>
      <c r="D67">
        <v>0</v>
      </c>
      <c r="E67">
        <v>174317</v>
      </c>
      <c r="F67">
        <v>23399.818675168899</v>
      </c>
      <c r="G67">
        <v>0.19225085707530401</v>
      </c>
      <c r="H67">
        <v>11.125896975298801</v>
      </c>
      <c r="I67">
        <v>1184.0491312743</v>
      </c>
      <c r="J67">
        <v>108976.94928478501</v>
      </c>
    </row>
    <row r="69" spans="1:10" x14ac:dyDescent="0.25">
      <c r="A69" t="s">
        <v>74</v>
      </c>
    </row>
    <row r="70" spans="1:10" x14ac:dyDescent="0.25">
      <c r="A70" s="8" t="s">
        <v>10</v>
      </c>
      <c r="B70" s="8">
        <v>20</v>
      </c>
      <c r="C70" s="8">
        <v>9107</v>
      </c>
      <c r="D70" s="8">
        <v>8267</v>
      </c>
      <c r="E70" s="8">
        <v>10132</v>
      </c>
      <c r="F70" s="8">
        <v>492.446796618691</v>
      </c>
      <c r="G70" s="8">
        <v>0</v>
      </c>
      <c r="H70" s="8">
        <v>4.8079581323005799E-2</v>
      </c>
      <c r="I70" s="8">
        <v>48.526254249784202</v>
      </c>
      <c r="J70" s="8">
        <v>1033513.25</v>
      </c>
    </row>
    <row r="71" spans="1:10" x14ac:dyDescent="0.25">
      <c r="A71" s="8" t="s">
        <v>11</v>
      </c>
      <c r="B71" s="8">
        <v>20</v>
      </c>
      <c r="C71" s="8">
        <v>3540</v>
      </c>
      <c r="D71" s="8">
        <v>3376</v>
      </c>
      <c r="E71" s="8">
        <v>3707</v>
      </c>
      <c r="F71" s="8">
        <v>73.838675502749695</v>
      </c>
      <c r="G71" s="8">
        <v>0</v>
      </c>
      <c r="H71" s="8">
        <v>4.8795245391289002E-2</v>
      </c>
      <c r="I71" s="8">
        <v>2.4860010062494502</v>
      </c>
      <c r="J71" s="8">
        <v>52170.35</v>
      </c>
    </row>
    <row r="72" spans="1:10" x14ac:dyDescent="0.25">
      <c r="A72" s="8" t="s">
        <v>12</v>
      </c>
      <c r="B72" s="8">
        <v>20</v>
      </c>
      <c r="C72" s="8">
        <v>3552</v>
      </c>
      <c r="D72" s="8">
        <v>3490</v>
      </c>
      <c r="E72" s="8">
        <v>3689</v>
      </c>
      <c r="F72" s="8">
        <v>52.7110045436363</v>
      </c>
      <c r="G72" s="8">
        <v>0</v>
      </c>
      <c r="H72" s="8">
        <v>4.8797507423320799E-2</v>
      </c>
      <c r="I72" s="8">
        <v>2.8678900316146798</v>
      </c>
      <c r="J72" s="8">
        <v>60181.75</v>
      </c>
    </row>
    <row r="73" spans="1:10" x14ac:dyDescent="0.25">
      <c r="A73" s="8" t="s">
        <v>13</v>
      </c>
      <c r="B73" s="8">
        <v>20</v>
      </c>
      <c r="C73" s="8">
        <v>3714</v>
      </c>
      <c r="D73" s="8">
        <v>3531</v>
      </c>
      <c r="E73" s="8">
        <v>3948</v>
      </c>
      <c r="F73" s="8">
        <v>87.5034142191043</v>
      </c>
      <c r="G73" s="8">
        <v>0</v>
      </c>
      <c r="H73" s="8">
        <v>4.8794650154557001E-2</v>
      </c>
      <c r="I73" s="8">
        <v>2.8636098228815099</v>
      </c>
      <c r="J73" s="8">
        <v>60095.45</v>
      </c>
    </row>
    <row r="74" spans="1:10" x14ac:dyDescent="0.25">
      <c r="A74" s="8" t="s">
        <v>14</v>
      </c>
      <c r="B74" s="8">
        <v>20</v>
      </c>
      <c r="C74" s="8">
        <v>4652</v>
      </c>
      <c r="D74" s="8">
        <v>4286</v>
      </c>
      <c r="E74" s="8">
        <v>4871</v>
      </c>
      <c r="F74" s="8">
        <v>159.64269479057</v>
      </c>
      <c r="G74" s="8">
        <v>0</v>
      </c>
      <c r="H74" s="8">
        <v>4.9470786263941399E-2</v>
      </c>
      <c r="I74" s="8">
        <v>2.6170601513744201</v>
      </c>
      <c r="J74" s="8">
        <v>54170.75</v>
      </c>
    </row>
    <row r="75" spans="1:10" x14ac:dyDescent="0.25">
      <c r="A75" s="8" t="s">
        <v>16</v>
      </c>
      <c r="B75" s="8">
        <v>10</v>
      </c>
      <c r="C75" s="8">
        <v>4485</v>
      </c>
      <c r="D75" s="8">
        <v>4320</v>
      </c>
      <c r="E75" s="8">
        <v>4703</v>
      </c>
      <c r="F75" s="8">
        <v>137.22569001467701</v>
      </c>
      <c r="G75" s="8">
        <v>0</v>
      </c>
      <c r="H75" s="8">
        <v>1.60565189466923</v>
      </c>
      <c r="I75" s="8">
        <v>83.352619972302506</v>
      </c>
      <c r="J75" s="8">
        <v>53157.9</v>
      </c>
    </row>
    <row r="76" spans="1:10" x14ac:dyDescent="0.25">
      <c r="A76" s="8" t="s">
        <v>17</v>
      </c>
      <c r="B76" s="8">
        <v>10</v>
      </c>
      <c r="C76" s="8">
        <v>3308</v>
      </c>
      <c r="D76" s="8">
        <v>3188</v>
      </c>
      <c r="E76" s="8">
        <v>3437</v>
      </c>
      <c r="F76" s="8">
        <v>64.816973085760594</v>
      </c>
      <c r="G76" s="8">
        <v>0</v>
      </c>
      <c r="H76" s="8">
        <v>1.9627085377821301</v>
      </c>
      <c r="I76" s="8">
        <v>105.74188082678999</v>
      </c>
      <c r="J76" s="8">
        <v>55168.5</v>
      </c>
    </row>
    <row r="77" spans="1:10" x14ac:dyDescent="0.25">
      <c r="A77" s="8" t="s">
        <v>15</v>
      </c>
      <c r="B77" s="8">
        <v>10</v>
      </c>
      <c r="C77" s="8">
        <v>12757</v>
      </c>
      <c r="D77" s="8">
        <v>12262</v>
      </c>
      <c r="E77" s="8">
        <v>13163</v>
      </c>
      <c r="F77" s="8">
        <v>259.08649134984302</v>
      </c>
      <c r="G77" s="8">
        <v>0</v>
      </c>
      <c r="H77" s="8">
        <v>0.67118598563661902</v>
      </c>
      <c r="I77" s="8">
        <v>259.86892471810103</v>
      </c>
      <c r="J77" s="8">
        <v>396471</v>
      </c>
    </row>
    <row r="78" spans="1:10" x14ac:dyDescent="0.25">
      <c r="A78" s="8" t="s">
        <v>49</v>
      </c>
      <c r="B78" s="8">
        <v>10</v>
      </c>
      <c r="C78" s="8">
        <v>3344</v>
      </c>
      <c r="D78" s="8">
        <v>3260</v>
      </c>
      <c r="E78" s="8">
        <v>3517</v>
      </c>
      <c r="F78" s="8">
        <v>70.697171089088499</v>
      </c>
      <c r="G78" s="8">
        <v>0</v>
      </c>
      <c r="H78" s="8">
        <v>1.8921475875118201</v>
      </c>
      <c r="I78" s="8">
        <v>101.94037517738801</v>
      </c>
      <c r="J78" s="8">
        <v>55168.5</v>
      </c>
    </row>
    <row r="79" spans="1:10" x14ac:dyDescent="0.25">
      <c r="A79" s="8" t="s">
        <v>92</v>
      </c>
      <c r="B79" s="8">
        <v>10</v>
      </c>
      <c r="C79" s="8">
        <v>3550</v>
      </c>
      <c r="D79" s="8">
        <v>3457</v>
      </c>
      <c r="E79" s="8">
        <v>3787</v>
      </c>
      <c r="F79" s="8">
        <v>99.133294104444403</v>
      </c>
      <c r="G79" s="8">
        <v>0.2</v>
      </c>
      <c r="H79" s="8">
        <v>1.94514685858782</v>
      </c>
      <c r="I79" s="8">
        <v>104.059468306263</v>
      </c>
      <c r="J79" s="8">
        <v>54780.9</v>
      </c>
    </row>
    <row r="80" spans="1:10" x14ac:dyDescent="0.25">
      <c r="A80" s="8" t="s">
        <v>93</v>
      </c>
      <c r="B80" s="8">
        <v>10</v>
      </c>
      <c r="C80" s="8">
        <v>4915</v>
      </c>
      <c r="D80" s="8">
        <v>4708</v>
      </c>
      <c r="E80" s="8">
        <v>5309</v>
      </c>
      <c r="F80" s="8">
        <v>168.065136182353</v>
      </c>
      <c r="G80" s="8">
        <v>0</v>
      </c>
      <c r="H80" s="8">
        <v>1.54990700557966</v>
      </c>
      <c r="I80" s="8">
        <v>94.350134890343995</v>
      </c>
      <c r="J80" s="8">
        <v>62335.7</v>
      </c>
    </row>
    <row r="81" spans="1:10" x14ac:dyDescent="0.25">
      <c r="A81" s="8" t="s">
        <v>94</v>
      </c>
      <c r="B81" s="8">
        <v>10</v>
      </c>
      <c r="C81" s="8">
        <v>2655</v>
      </c>
      <c r="D81" s="8">
        <v>2294</v>
      </c>
      <c r="E81" s="8">
        <v>3122</v>
      </c>
      <c r="F81" s="8">
        <v>194.74711807880601</v>
      </c>
      <c r="G81" s="8">
        <v>0</v>
      </c>
      <c r="H81" s="8">
        <v>2.4102193299590202</v>
      </c>
      <c r="I81" s="8">
        <v>152.499802286695</v>
      </c>
      <c r="J81" s="8">
        <v>64790.7</v>
      </c>
    </row>
    <row r="82" spans="1:10" x14ac:dyDescent="0.25">
      <c r="A82" s="8" t="s">
        <v>95</v>
      </c>
      <c r="B82" s="8">
        <v>10</v>
      </c>
      <c r="C82" s="8">
        <v>147</v>
      </c>
      <c r="D82" s="8">
        <v>139</v>
      </c>
      <c r="E82" s="8">
        <v>185</v>
      </c>
      <c r="F82" s="8">
        <v>13.507405376311199</v>
      </c>
      <c r="G82" s="8">
        <v>0</v>
      </c>
      <c r="H82" s="8">
        <v>5.0327126321086997</v>
      </c>
      <c r="I82" s="8">
        <v>2.8653041645697002</v>
      </c>
      <c r="J82" s="8">
        <v>583</v>
      </c>
    </row>
    <row r="83" spans="1:10" x14ac:dyDescent="0.25">
      <c r="A83" s="8" t="s">
        <v>50</v>
      </c>
      <c r="B83" s="8">
        <v>10</v>
      </c>
      <c r="C83" s="8">
        <v>6414</v>
      </c>
      <c r="D83" s="8">
        <v>5999</v>
      </c>
      <c r="E83" s="8">
        <v>6627</v>
      </c>
      <c r="F83" s="8">
        <v>192.380352427172</v>
      </c>
      <c r="G83" s="8">
        <v>0</v>
      </c>
      <c r="H83" s="8">
        <v>1.21094696052312</v>
      </c>
      <c r="I83" s="8">
        <v>72.461339572232902</v>
      </c>
      <c r="J83" s="8">
        <v>61274.7</v>
      </c>
    </row>
    <row r="84" spans="1:10" x14ac:dyDescent="0.25">
      <c r="A84" s="8" t="s">
        <v>51</v>
      </c>
      <c r="B84" s="8">
        <v>10</v>
      </c>
      <c r="C84" s="8">
        <v>2953</v>
      </c>
      <c r="D84" s="8">
        <v>2483</v>
      </c>
      <c r="E84" s="8">
        <v>4866</v>
      </c>
      <c r="F84" s="8">
        <v>651.44240727787906</v>
      </c>
      <c r="G84" s="8">
        <v>0</v>
      </c>
      <c r="H84" s="8">
        <v>2.0550760378133899</v>
      </c>
      <c r="I84" s="8">
        <v>127.876303688861</v>
      </c>
      <c r="J84" s="8">
        <v>63718</v>
      </c>
    </row>
    <row r="85" spans="1:10" x14ac:dyDescent="0.25">
      <c r="A85" s="8" t="s">
        <v>96</v>
      </c>
      <c r="B85" s="8">
        <v>10</v>
      </c>
      <c r="C85" s="8">
        <v>147</v>
      </c>
      <c r="D85" s="8">
        <v>141</v>
      </c>
      <c r="E85" s="8">
        <v>155</v>
      </c>
      <c r="F85" s="8">
        <v>5.2497618993631399</v>
      </c>
      <c r="G85" s="8">
        <v>0</v>
      </c>
      <c r="H85" s="8">
        <v>4.5724737082761697</v>
      </c>
      <c r="I85" s="8">
        <v>2.6032736053955099</v>
      </c>
      <c r="J85" s="8">
        <v>583</v>
      </c>
    </row>
    <row r="86" spans="1:10" x14ac:dyDescent="0.25">
      <c r="A86" s="8" t="s">
        <v>52</v>
      </c>
      <c r="B86" s="8">
        <v>10</v>
      </c>
      <c r="C86" s="8">
        <v>2064</v>
      </c>
      <c r="D86" s="8">
        <v>1990</v>
      </c>
      <c r="E86" s="8">
        <v>2134</v>
      </c>
      <c r="F86" s="8">
        <v>49.8787529916262</v>
      </c>
      <c r="G86" s="8">
        <v>0</v>
      </c>
      <c r="H86" s="8">
        <v>2.3986567522187499</v>
      </c>
      <c r="I86" s="8">
        <v>139.630634969417</v>
      </c>
      <c r="J86" s="8">
        <v>59609.1</v>
      </c>
    </row>
    <row r="87" spans="1:10" x14ac:dyDescent="0.25">
      <c r="A87" s="8" t="s">
        <v>53</v>
      </c>
      <c r="B87" s="8">
        <v>10</v>
      </c>
      <c r="C87" s="8">
        <v>2252</v>
      </c>
      <c r="D87" s="8">
        <v>2126</v>
      </c>
      <c r="E87" s="8">
        <v>2376</v>
      </c>
      <c r="F87" s="8">
        <v>83.295197940816706</v>
      </c>
      <c r="G87" s="8">
        <v>0</v>
      </c>
      <c r="H87" s="8">
        <v>2.2588660492432799</v>
      </c>
      <c r="I87" s="8">
        <v>137.58678104529</v>
      </c>
      <c r="J87" s="8">
        <v>62371.5</v>
      </c>
    </row>
    <row r="88" spans="1:10" x14ac:dyDescent="0.25">
      <c r="A88" s="8" t="s">
        <v>97</v>
      </c>
      <c r="B88" s="8">
        <v>10</v>
      </c>
      <c r="C88" s="8">
        <v>145</v>
      </c>
      <c r="D88" s="8">
        <v>137</v>
      </c>
      <c r="E88" s="8">
        <v>159</v>
      </c>
      <c r="F88" s="8">
        <v>7.9504716841200898</v>
      </c>
      <c r="G88" s="8">
        <v>0</v>
      </c>
      <c r="H88" s="8">
        <v>4.1562759767248503</v>
      </c>
      <c r="I88" s="8">
        <v>2.3663172797173702</v>
      </c>
      <c r="J88" s="8">
        <v>583</v>
      </c>
    </row>
    <row r="89" spans="1:10" x14ac:dyDescent="0.25">
      <c r="A89" s="8" t="s">
        <v>54</v>
      </c>
      <c r="B89" s="8">
        <v>10</v>
      </c>
      <c r="C89" s="8">
        <v>2092</v>
      </c>
      <c r="D89" s="8">
        <v>2020</v>
      </c>
      <c r="E89" s="8">
        <v>2169</v>
      </c>
      <c r="F89" s="8">
        <v>41.458533500338099</v>
      </c>
      <c r="G89" s="8">
        <v>0</v>
      </c>
      <c r="H89" s="8">
        <v>2.2716946842344301</v>
      </c>
      <c r="I89" s="8">
        <v>134.177957107564</v>
      </c>
      <c r="J89" s="8">
        <v>60482.7</v>
      </c>
    </row>
    <row r="90" spans="1:10" x14ac:dyDescent="0.25">
      <c r="A90" s="8" t="s">
        <v>99</v>
      </c>
      <c r="B90" s="8">
        <v>10</v>
      </c>
      <c r="C90" s="8">
        <v>2069</v>
      </c>
      <c r="D90" s="8">
        <v>1989</v>
      </c>
      <c r="E90" s="8">
        <v>2203</v>
      </c>
      <c r="F90" s="8">
        <v>77.894094769753195</v>
      </c>
      <c r="G90" s="8">
        <v>0</v>
      </c>
      <c r="H90" s="8">
        <v>2.2466861379465199</v>
      </c>
      <c r="I90" s="8">
        <v>136.84446788643001</v>
      </c>
      <c r="J90" s="8">
        <v>62371.3</v>
      </c>
    </row>
    <row r="91" spans="1:10" x14ac:dyDescent="0.25">
      <c r="A91" s="8" t="s">
        <v>98</v>
      </c>
      <c r="B91" s="8">
        <v>10</v>
      </c>
      <c r="C91" s="8">
        <v>144</v>
      </c>
      <c r="D91" s="8">
        <v>138</v>
      </c>
      <c r="E91" s="8">
        <v>157</v>
      </c>
      <c r="F91" s="8">
        <v>7.1756532803639503</v>
      </c>
      <c r="G91" s="8">
        <v>0</v>
      </c>
      <c r="H91" s="8">
        <v>3.8372985418265499</v>
      </c>
      <c r="I91" s="8">
        <v>2.1434909823484198</v>
      </c>
      <c r="J91" s="8">
        <v>572</v>
      </c>
    </row>
    <row r="92" spans="1:10" x14ac:dyDescent="0.25">
      <c r="A92" s="8" t="s">
        <v>100</v>
      </c>
      <c r="B92" s="8">
        <v>10</v>
      </c>
      <c r="C92" s="8">
        <v>3697</v>
      </c>
      <c r="D92" s="8">
        <v>3586</v>
      </c>
      <c r="E92" s="8">
        <v>3824</v>
      </c>
      <c r="F92" s="8">
        <v>65.449522534550198</v>
      </c>
      <c r="G92" s="8">
        <v>0</v>
      </c>
      <c r="H92" s="8">
        <v>1.65207335205683</v>
      </c>
      <c r="I92" s="8">
        <v>96.388638639930605</v>
      </c>
      <c r="J92" s="8">
        <v>59744.3</v>
      </c>
    </row>
    <row r="93" spans="1:10" x14ac:dyDescent="0.25">
      <c r="A93" s="8" t="s">
        <v>58</v>
      </c>
      <c r="B93" s="8">
        <v>10</v>
      </c>
      <c r="C93" s="8">
        <v>2506</v>
      </c>
      <c r="D93" s="8">
        <v>2075</v>
      </c>
      <c r="E93" s="8">
        <v>2801</v>
      </c>
      <c r="F93" s="8">
        <v>226.940432713077</v>
      </c>
      <c r="G93" s="8">
        <v>0</v>
      </c>
      <c r="H93" s="8">
        <v>2.1862702229995601</v>
      </c>
      <c r="I93" s="8">
        <v>130.67127889975899</v>
      </c>
      <c r="J93" s="8">
        <v>61203.5</v>
      </c>
    </row>
    <row r="94" spans="1:10" x14ac:dyDescent="0.25">
      <c r="A94" s="8" t="s">
        <v>101</v>
      </c>
      <c r="B94" s="8">
        <v>10</v>
      </c>
      <c r="C94" s="8">
        <v>6130</v>
      </c>
      <c r="D94" s="8">
        <v>4663</v>
      </c>
      <c r="E94" s="8">
        <v>8579</v>
      </c>
      <c r="F94" s="8">
        <v>1183.1933443017599</v>
      </c>
      <c r="G94" s="8">
        <v>0</v>
      </c>
      <c r="H94" s="8">
        <v>1.01657009250787</v>
      </c>
      <c r="I94" s="8">
        <v>58.390932353613898</v>
      </c>
      <c r="J94" s="8">
        <v>58817.7</v>
      </c>
    </row>
    <row r="95" spans="1:10" x14ac:dyDescent="0.25">
      <c r="A95" s="8" t="s">
        <v>102</v>
      </c>
      <c r="B95" s="8">
        <v>10</v>
      </c>
      <c r="C95" s="8">
        <v>188</v>
      </c>
      <c r="D95" s="8">
        <v>170</v>
      </c>
      <c r="E95" s="8">
        <v>249</v>
      </c>
      <c r="F95" s="8">
        <v>21.340103092534498</v>
      </c>
      <c r="G95" s="8">
        <v>0</v>
      </c>
      <c r="H95" s="8">
        <v>1.8663680477790201</v>
      </c>
      <c r="I95" s="8">
        <v>8.2820082120194094</v>
      </c>
      <c r="J95" s="8">
        <v>4544</v>
      </c>
    </row>
    <row r="96" spans="1:10" x14ac:dyDescent="0.25">
      <c r="A96" s="8" t="s">
        <v>103</v>
      </c>
      <c r="B96" s="8">
        <v>10</v>
      </c>
      <c r="C96" s="8">
        <v>176</v>
      </c>
      <c r="D96" s="8">
        <v>166</v>
      </c>
      <c r="E96" s="8">
        <v>185</v>
      </c>
      <c r="F96" s="8">
        <v>5.7584720195548504</v>
      </c>
      <c r="G96" s="8">
        <v>0</v>
      </c>
      <c r="H96" s="8">
        <v>1.8786398647379201</v>
      </c>
      <c r="I96" s="8">
        <v>7.3531138455758001</v>
      </c>
      <c r="J96" s="8">
        <v>4008</v>
      </c>
    </row>
    <row r="97" spans="1:10" x14ac:dyDescent="0.25">
      <c r="A97" s="8" t="s">
        <v>104</v>
      </c>
      <c r="B97" s="8">
        <v>10</v>
      </c>
      <c r="C97" s="8">
        <v>170</v>
      </c>
      <c r="D97" s="8">
        <v>164</v>
      </c>
      <c r="E97" s="8">
        <v>181</v>
      </c>
      <c r="F97" s="8">
        <v>5.92958683214973</v>
      </c>
      <c r="G97" s="8">
        <v>0</v>
      </c>
      <c r="H97" s="8">
        <v>1.88893086513033</v>
      </c>
      <c r="I97" s="8">
        <v>3.6505802559501301</v>
      </c>
      <c r="J97" s="8">
        <v>1979</v>
      </c>
    </row>
    <row r="98" spans="1:10" x14ac:dyDescent="0.25">
      <c r="A98" s="8" t="s">
        <v>105</v>
      </c>
      <c r="B98" s="8">
        <v>10</v>
      </c>
      <c r="C98" s="8">
        <v>174</v>
      </c>
      <c r="D98" s="8">
        <v>162</v>
      </c>
      <c r="E98" s="8">
        <v>188</v>
      </c>
      <c r="F98" s="8">
        <v>10.0124921972503</v>
      </c>
      <c r="G98" s="8">
        <v>0</v>
      </c>
      <c r="H98" s="8">
        <v>1.88005264147396</v>
      </c>
      <c r="I98" s="8">
        <v>3.2295044886256798</v>
      </c>
      <c r="J98" s="8">
        <v>1759</v>
      </c>
    </row>
    <row r="99" spans="1:10" x14ac:dyDescent="0.25">
      <c r="A99" s="8" t="s">
        <v>106</v>
      </c>
      <c r="B99" s="8">
        <v>10</v>
      </c>
      <c r="C99" s="8">
        <v>145</v>
      </c>
      <c r="D99" s="8">
        <v>135</v>
      </c>
      <c r="E99" s="8">
        <v>163</v>
      </c>
      <c r="F99" s="8">
        <v>8.8226980000451096</v>
      </c>
      <c r="G99" s="8">
        <v>0</v>
      </c>
      <c r="H99" s="8">
        <v>1.88288457917529</v>
      </c>
      <c r="I99" s="8">
        <v>1.08486513839201</v>
      </c>
      <c r="J99" s="8">
        <v>590</v>
      </c>
    </row>
    <row r="100" spans="1:10" x14ac:dyDescent="0.25">
      <c r="A100" s="8" t="s">
        <v>55</v>
      </c>
      <c r="B100" s="8">
        <v>10</v>
      </c>
      <c r="C100" s="8">
        <v>2170</v>
      </c>
      <c r="D100" s="8">
        <v>1783</v>
      </c>
      <c r="E100" s="8">
        <v>2448</v>
      </c>
      <c r="F100" s="8">
        <v>209.079506408447</v>
      </c>
      <c r="G100" s="8">
        <v>0</v>
      </c>
      <c r="H100" s="8">
        <v>1.4390559792775901</v>
      </c>
      <c r="I100" s="8">
        <v>82.830881691610301</v>
      </c>
      <c r="J100" s="8">
        <v>58940.6</v>
      </c>
    </row>
    <row r="101" spans="1:10" x14ac:dyDescent="0.25">
      <c r="A101" s="8" t="s">
        <v>20</v>
      </c>
      <c r="B101" s="8">
        <v>360</v>
      </c>
      <c r="C101" s="8">
        <v>3276</v>
      </c>
      <c r="D101" s="8">
        <v>135</v>
      </c>
      <c r="E101" s="8">
        <v>13163</v>
      </c>
      <c r="F101" s="8">
        <v>2801.5448018627299</v>
      </c>
      <c r="G101" s="8">
        <v>5.5555555555555497E-3</v>
      </c>
      <c r="H101" s="8">
        <v>0.77421352809104704</v>
      </c>
      <c r="I101" s="8">
        <v>81.610613724843404</v>
      </c>
      <c r="J101" s="8">
        <v>107940.85277777701</v>
      </c>
    </row>
    <row r="103" spans="1:10" x14ac:dyDescent="0.25">
      <c r="A103" s="8" t="s">
        <v>75</v>
      </c>
    </row>
    <row r="104" spans="1:10" x14ac:dyDescent="0.25">
      <c r="A104" s="8" t="s">
        <v>10</v>
      </c>
      <c r="B104" s="8">
        <v>3</v>
      </c>
      <c r="C104" s="8">
        <v>8076</v>
      </c>
      <c r="D104" s="8">
        <v>7793</v>
      </c>
      <c r="E104" s="8">
        <v>8381</v>
      </c>
      <c r="F104" s="8">
        <v>240.553528346603</v>
      </c>
      <c r="G104" s="8">
        <v>0</v>
      </c>
      <c r="H104" s="8">
        <v>1.21079056551991E-2</v>
      </c>
      <c r="I104" s="8">
        <v>12.220388571700999</v>
      </c>
      <c r="J104" s="8">
        <v>1033513</v>
      </c>
    </row>
    <row r="105" spans="1:10" x14ac:dyDescent="0.25">
      <c r="A105" s="8" t="s">
        <v>11</v>
      </c>
      <c r="B105" s="8">
        <v>3</v>
      </c>
      <c r="C105" s="8">
        <v>3468</v>
      </c>
      <c r="D105" s="8">
        <v>3349</v>
      </c>
      <c r="E105" s="8">
        <v>3567</v>
      </c>
      <c r="F105" s="8">
        <v>90.189923063621706</v>
      </c>
      <c r="G105" s="8">
        <v>0</v>
      </c>
      <c r="H105" s="8">
        <v>1.23595644489488E-2</v>
      </c>
      <c r="I105" s="8">
        <v>0.62969808287705897</v>
      </c>
      <c r="J105" s="8">
        <v>52171</v>
      </c>
    </row>
    <row r="106" spans="1:10" x14ac:dyDescent="0.25">
      <c r="A106" s="8" t="s">
        <v>12</v>
      </c>
      <c r="B106" s="8">
        <v>3</v>
      </c>
      <c r="C106" s="8">
        <v>3475</v>
      </c>
      <c r="D106" s="8">
        <v>3468</v>
      </c>
      <c r="E106" s="8">
        <v>3480</v>
      </c>
      <c r="F106" s="8">
        <v>5.2493385827139596</v>
      </c>
      <c r="G106" s="8">
        <v>0</v>
      </c>
      <c r="H106" s="8">
        <v>1.23601755144923E-2</v>
      </c>
      <c r="I106" s="8">
        <v>0.72642183862760801</v>
      </c>
      <c r="J106" s="8">
        <v>60181.666666666599</v>
      </c>
    </row>
    <row r="107" spans="1:10" x14ac:dyDescent="0.25">
      <c r="A107" s="8" t="s">
        <v>13</v>
      </c>
      <c r="B107" s="8">
        <v>3</v>
      </c>
      <c r="C107" s="8">
        <v>3657</v>
      </c>
      <c r="D107" s="8">
        <v>3534</v>
      </c>
      <c r="E107" s="8">
        <v>3757</v>
      </c>
      <c r="F107" s="8">
        <v>92.4806286022432</v>
      </c>
      <c r="G107" s="8">
        <v>0</v>
      </c>
      <c r="H107" s="8">
        <v>1.2356662712534499E-2</v>
      </c>
      <c r="I107" s="8">
        <v>0.72517359823958705</v>
      </c>
      <c r="J107" s="8">
        <v>60095.333333333299</v>
      </c>
    </row>
    <row r="108" spans="1:10" x14ac:dyDescent="0.25">
      <c r="A108" s="8" t="s">
        <v>14</v>
      </c>
      <c r="B108" s="8">
        <v>3</v>
      </c>
      <c r="C108" s="8">
        <v>4453</v>
      </c>
      <c r="D108" s="8">
        <v>4326</v>
      </c>
      <c r="E108" s="8">
        <v>4584</v>
      </c>
      <c r="F108" s="8">
        <v>105.34493606980899</v>
      </c>
      <c r="G108" s="8">
        <v>0</v>
      </c>
      <c r="H108" s="8">
        <v>1.2327973404452E-2</v>
      </c>
      <c r="I108" s="8">
        <v>0.65217066075882701</v>
      </c>
      <c r="J108" s="8">
        <v>54171.333333333299</v>
      </c>
    </row>
    <row r="109" spans="1:10" x14ac:dyDescent="0.25">
      <c r="A109" s="8" t="s">
        <v>16</v>
      </c>
      <c r="B109" s="8">
        <v>3</v>
      </c>
      <c r="C109" s="8">
        <v>4228</v>
      </c>
      <c r="D109" s="8">
        <v>4004</v>
      </c>
      <c r="E109" s="8">
        <v>4373</v>
      </c>
      <c r="F109" s="8">
        <v>160.99758452293599</v>
      </c>
      <c r="G109" s="8">
        <v>0</v>
      </c>
      <c r="H109" s="8">
        <v>1.23575789031412E-2</v>
      </c>
      <c r="I109" s="8">
        <v>0.64148787438315003</v>
      </c>
      <c r="J109" s="8">
        <v>53156.333333333299</v>
      </c>
    </row>
    <row r="110" spans="1:10" x14ac:dyDescent="0.25">
      <c r="A110" s="8" t="s">
        <v>17</v>
      </c>
      <c r="B110" s="8">
        <v>3</v>
      </c>
      <c r="C110" s="8">
        <v>3328</v>
      </c>
      <c r="D110" s="8">
        <v>3297</v>
      </c>
      <c r="E110" s="8">
        <v>3379</v>
      </c>
      <c r="F110" s="8">
        <v>36.340977789074998</v>
      </c>
      <c r="G110" s="8">
        <v>0</v>
      </c>
      <c r="H110" s="8">
        <v>1.24082821147021E-2</v>
      </c>
      <c r="I110" s="8">
        <v>0.66850831639258101</v>
      </c>
      <c r="J110" s="8">
        <v>55169</v>
      </c>
    </row>
    <row r="111" spans="1:10" x14ac:dyDescent="0.25">
      <c r="A111" s="8" t="s">
        <v>15</v>
      </c>
      <c r="B111" s="8">
        <v>3</v>
      </c>
      <c r="C111" s="8">
        <v>12273</v>
      </c>
      <c r="D111" s="8">
        <v>12140</v>
      </c>
      <c r="E111" s="8">
        <v>12443</v>
      </c>
      <c r="F111" s="8">
        <v>126.33905000245301</v>
      </c>
      <c r="G111" s="8">
        <v>0</v>
      </c>
      <c r="H111" s="8">
        <v>1.1970409148584601E-2</v>
      </c>
      <c r="I111" s="8">
        <v>4.63478889560007</v>
      </c>
      <c r="J111" s="8">
        <v>396479.66666666599</v>
      </c>
    </row>
    <row r="112" spans="1:10" x14ac:dyDescent="0.25">
      <c r="A112" s="8" t="s">
        <v>49</v>
      </c>
      <c r="B112" s="8">
        <v>3</v>
      </c>
      <c r="C112" s="8">
        <v>3317</v>
      </c>
      <c r="D112" s="8">
        <v>3311</v>
      </c>
      <c r="E112" s="8">
        <v>3322</v>
      </c>
      <c r="F112" s="8">
        <v>4.5460605655936597</v>
      </c>
      <c r="G112" s="8">
        <v>0</v>
      </c>
      <c r="H112" s="8">
        <v>1.24228746531947E-2</v>
      </c>
      <c r="I112" s="8">
        <v>0.66929450365439502</v>
      </c>
      <c r="J112" s="8">
        <v>55169</v>
      </c>
    </row>
    <row r="113" spans="1:10" x14ac:dyDescent="0.25">
      <c r="A113" s="8" t="s">
        <v>92</v>
      </c>
      <c r="B113" s="8">
        <v>3</v>
      </c>
      <c r="C113" s="8">
        <v>3528</v>
      </c>
      <c r="D113" s="8">
        <v>3426</v>
      </c>
      <c r="E113" s="8">
        <v>3602</v>
      </c>
      <c r="F113" s="8">
        <v>74.656249273279897</v>
      </c>
      <c r="G113" s="8">
        <v>0</v>
      </c>
      <c r="H113" s="8">
        <v>1.24170129633615E-2</v>
      </c>
      <c r="I113" s="8">
        <v>0.66614930190518296</v>
      </c>
      <c r="J113" s="8">
        <v>54935.666666666599</v>
      </c>
    </row>
    <row r="114" spans="1:10" x14ac:dyDescent="0.25">
      <c r="A114" s="8" t="s">
        <v>93</v>
      </c>
      <c r="B114" s="8">
        <v>3</v>
      </c>
      <c r="C114" s="8">
        <v>4641</v>
      </c>
      <c r="D114" s="8">
        <v>4515</v>
      </c>
      <c r="E114" s="8">
        <v>4797</v>
      </c>
      <c r="F114" s="8">
        <v>116.89691565171501</v>
      </c>
      <c r="G114" s="8">
        <v>0</v>
      </c>
      <c r="H114" s="8">
        <v>1.2365117180093799E-2</v>
      </c>
      <c r="I114" s="8">
        <v>0.75808392076226805</v>
      </c>
      <c r="J114" s="8">
        <v>62779.666666666599</v>
      </c>
    </row>
    <row r="115" spans="1:10" x14ac:dyDescent="0.25">
      <c r="A115" s="8" t="s">
        <v>94</v>
      </c>
      <c r="B115" s="8">
        <v>3</v>
      </c>
      <c r="C115" s="8">
        <v>2634</v>
      </c>
      <c r="D115" s="8">
        <v>2576</v>
      </c>
      <c r="E115" s="8">
        <v>2677</v>
      </c>
      <c r="F115" s="8">
        <v>42.695302890225001</v>
      </c>
      <c r="G115" s="8">
        <v>0</v>
      </c>
      <c r="H115" s="8">
        <v>1.24648905582608E-2</v>
      </c>
      <c r="I115" s="8">
        <v>0.79150026254175698</v>
      </c>
      <c r="J115" s="8">
        <v>65022.333333333299</v>
      </c>
    </row>
    <row r="116" spans="1:10" x14ac:dyDescent="0.25">
      <c r="A116" s="8" t="s">
        <v>95</v>
      </c>
      <c r="B116" s="8">
        <v>3</v>
      </c>
      <c r="C116" s="8">
        <v>140</v>
      </c>
      <c r="D116" s="8">
        <v>138</v>
      </c>
      <c r="E116" s="8">
        <v>145</v>
      </c>
      <c r="F116" s="8">
        <v>3.0912061651656901</v>
      </c>
      <c r="G116" s="8">
        <v>0</v>
      </c>
      <c r="H116" s="8">
        <v>1.2597684545580501E-2</v>
      </c>
      <c r="I116" s="8">
        <v>7.1723145410873398E-3</v>
      </c>
      <c r="J116" s="8">
        <v>583</v>
      </c>
    </row>
    <row r="117" spans="1:10" x14ac:dyDescent="0.25">
      <c r="A117" s="8" t="s">
        <v>50</v>
      </c>
      <c r="B117" s="8">
        <v>3</v>
      </c>
      <c r="C117" s="8">
        <v>5848</v>
      </c>
      <c r="D117" s="8">
        <v>5543</v>
      </c>
      <c r="E117" s="8">
        <v>6453</v>
      </c>
      <c r="F117" s="8">
        <v>427.57091679496602</v>
      </c>
      <c r="G117" s="8">
        <v>0</v>
      </c>
      <c r="H117" s="8">
        <v>1.23179003728217E-2</v>
      </c>
      <c r="I117" s="8">
        <v>0.737093214171333</v>
      </c>
      <c r="J117" s="8">
        <v>61275.333333333299</v>
      </c>
    </row>
    <row r="118" spans="1:10" x14ac:dyDescent="0.25">
      <c r="A118" s="8" t="s">
        <v>51</v>
      </c>
      <c r="B118" s="8">
        <v>3</v>
      </c>
      <c r="C118" s="8">
        <v>2607</v>
      </c>
      <c r="D118" s="8">
        <v>2472</v>
      </c>
      <c r="E118" s="8">
        <v>2802</v>
      </c>
      <c r="F118" s="8">
        <v>141.10358685101099</v>
      </c>
      <c r="G118" s="8">
        <v>0</v>
      </c>
      <c r="H118" s="8">
        <v>1.25189348890196E-2</v>
      </c>
      <c r="I118" s="8">
        <v>0.78129645698493899</v>
      </c>
      <c r="J118" s="8">
        <v>63907</v>
      </c>
    </row>
    <row r="119" spans="1:10" x14ac:dyDescent="0.25">
      <c r="A119" s="8" t="s">
        <v>96</v>
      </c>
      <c r="B119" s="8">
        <v>3</v>
      </c>
      <c r="C119" s="8">
        <v>142</v>
      </c>
      <c r="D119" s="8">
        <v>138</v>
      </c>
      <c r="E119" s="8">
        <v>149</v>
      </c>
      <c r="F119" s="8">
        <v>4.7842333648022297</v>
      </c>
      <c r="G119" s="8">
        <v>0</v>
      </c>
      <c r="H119" s="8">
        <v>1.2659937206711399E-2</v>
      </c>
      <c r="I119" s="8">
        <v>7.2077572182741899E-3</v>
      </c>
      <c r="J119" s="8">
        <v>583</v>
      </c>
    </row>
    <row r="120" spans="1:10" x14ac:dyDescent="0.25">
      <c r="A120" s="8" t="s">
        <v>52</v>
      </c>
      <c r="B120" s="8">
        <v>3</v>
      </c>
      <c r="C120" s="8">
        <v>1991</v>
      </c>
      <c r="D120" s="8">
        <v>1972</v>
      </c>
      <c r="E120" s="8">
        <v>2002</v>
      </c>
      <c r="F120" s="8">
        <v>13.6950923894645</v>
      </c>
      <c r="G120" s="8">
        <v>0</v>
      </c>
      <c r="H120" s="8">
        <v>1.2561499005547899E-2</v>
      </c>
      <c r="I120" s="8">
        <v>0.73122890060713897</v>
      </c>
      <c r="J120" s="8">
        <v>59609</v>
      </c>
    </row>
    <row r="121" spans="1:10" x14ac:dyDescent="0.25">
      <c r="A121" s="8" t="s">
        <v>53</v>
      </c>
      <c r="B121" s="8">
        <v>3</v>
      </c>
      <c r="C121" s="8">
        <v>2245</v>
      </c>
      <c r="D121" s="8">
        <v>2098</v>
      </c>
      <c r="E121" s="8">
        <v>2331</v>
      </c>
      <c r="F121" s="8">
        <v>104.444562647688</v>
      </c>
      <c r="G121" s="8">
        <v>0</v>
      </c>
      <c r="H121" s="8">
        <v>1.25446380035626E-2</v>
      </c>
      <c r="I121" s="8">
        <v>0.76082902808326303</v>
      </c>
      <c r="J121" s="8">
        <v>62105.333333333299</v>
      </c>
    </row>
    <row r="122" spans="1:10" x14ac:dyDescent="0.25">
      <c r="A122" s="8" t="s">
        <v>97</v>
      </c>
      <c r="B122" s="8">
        <v>3</v>
      </c>
      <c r="C122" s="8">
        <v>140</v>
      </c>
      <c r="D122" s="8">
        <v>140</v>
      </c>
      <c r="E122" s="8">
        <v>141</v>
      </c>
      <c r="F122" s="8">
        <v>0.47140452078760098</v>
      </c>
      <c r="G122" s="8">
        <v>0</v>
      </c>
      <c r="H122" s="8">
        <v>1.2648141355627701E-2</v>
      </c>
      <c r="I122" s="8">
        <v>7.2010414163388601E-3</v>
      </c>
      <c r="J122" s="8">
        <v>583</v>
      </c>
    </row>
    <row r="123" spans="1:10" x14ac:dyDescent="0.25">
      <c r="A123" s="8" t="s">
        <v>54</v>
      </c>
      <c r="B123" s="8">
        <v>3</v>
      </c>
      <c r="C123" s="8">
        <v>2061</v>
      </c>
      <c r="D123" s="8">
        <v>2029</v>
      </c>
      <c r="E123" s="8">
        <v>2084</v>
      </c>
      <c r="F123" s="8">
        <v>23.338094752292299</v>
      </c>
      <c r="G123" s="8">
        <v>0</v>
      </c>
      <c r="H123" s="8">
        <v>1.2546054474968499E-2</v>
      </c>
      <c r="I123" s="8">
        <v>0.74105443445522901</v>
      </c>
      <c r="J123" s="8">
        <v>60484.333333333299</v>
      </c>
    </row>
    <row r="124" spans="1:10" x14ac:dyDescent="0.25">
      <c r="A124" s="8" t="s">
        <v>99</v>
      </c>
      <c r="B124" s="8">
        <v>3</v>
      </c>
      <c r="C124" s="8">
        <v>2102</v>
      </c>
      <c r="D124" s="8">
        <v>2022</v>
      </c>
      <c r="E124" s="8">
        <v>2220</v>
      </c>
      <c r="F124" s="8">
        <v>85.182157756187394</v>
      </c>
      <c r="G124" s="8">
        <v>0</v>
      </c>
      <c r="H124" s="8">
        <v>1.25389753149372E-2</v>
      </c>
      <c r="I124" s="8">
        <v>0.760489669190483</v>
      </c>
      <c r="J124" s="8">
        <v>62105.666666666599</v>
      </c>
    </row>
    <row r="125" spans="1:10" x14ac:dyDescent="0.25">
      <c r="A125" s="8" t="s">
        <v>98</v>
      </c>
      <c r="B125" s="8">
        <v>3</v>
      </c>
      <c r="C125" s="8">
        <v>141</v>
      </c>
      <c r="D125" s="8">
        <v>137</v>
      </c>
      <c r="E125" s="8">
        <v>149</v>
      </c>
      <c r="F125" s="8">
        <v>5.2493385826748096</v>
      </c>
      <c r="G125" s="8">
        <v>0</v>
      </c>
      <c r="H125" s="8">
        <v>1.2638656595061601E-2</v>
      </c>
      <c r="I125" s="8">
        <v>7.0598745823977202E-3</v>
      </c>
      <c r="J125" s="8">
        <v>572</v>
      </c>
    </row>
    <row r="126" spans="1:10" x14ac:dyDescent="0.25">
      <c r="A126" s="8" t="s">
        <v>100</v>
      </c>
      <c r="B126" s="8">
        <v>3</v>
      </c>
      <c r="C126" s="8">
        <v>3630</v>
      </c>
      <c r="D126" s="8">
        <v>3559</v>
      </c>
      <c r="E126" s="8">
        <v>3687</v>
      </c>
      <c r="F126" s="8">
        <v>53.368738248360401</v>
      </c>
      <c r="G126" s="8">
        <v>0</v>
      </c>
      <c r="H126" s="8">
        <v>1.2459299621237201E-2</v>
      </c>
      <c r="I126" s="8">
        <v>0.726930373799754</v>
      </c>
      <c r="J126" s="8">
        <v>59744.666666666599</v>
      </c>
    </row>
    <row r="127" spans="1:10" x14ac:dyDescent="0.25">
      <c r="A127" s="8" t="s">
        <v>58</v>
      </c>
      <c r="B127" s="8">
        <v>3</v>
      </c>
      <c r="C127" s="8">
        <v>2617</v>
      </c>
      <c r="D127" s="8">
        <v>2517</v>
      </c>
      <c r="E127" s="8">
        <v>2762</v>
      </c>
      <c r="F127" s="8">
        <v>104.818361411005</v>
      </c>
      <c r="G127" s="8">
        <v>0</v>
      </c>
      <c r="H127" s="8">
        <v>1.2515122439614499E-2</v>
      </c>
      <c r="I127" s="8">
        <v>0.74678045216094402</v>
      </c>
      <c r="J127" s="8">
        <v>61102.333333333299</v>
      </c>
    </row>
    <row r="128" spans="1:10" x14ac:dyDescent="0.25">
      <c r="A128" s="8" t="s">
        <v>101</v>
      </c>
      <c r="B128" s="8">
        <v>3</v>
      </c>
      <c r="C128" s="8">
        <v>4425</v>
      </c>
      <c r="D128" s="8">
        <v>4322</v>
      </c>
      <c r="E128" s="8">
        <v>4556</v>
      </c>
      <c r="F128" s="8">
        <v>97.373279474156703</v>
      </c>
      <c r="G128" s="8">
        <v>0</v>
      </c>
      <c r="H128" s="8">
        <v>1.2430389817024601E-2</v>
      </c>
      <c r="I128" s="8">
        <v>0.69725908609702303</v>
      </c>
      <c r="J128" s="8">
        <v>57439.333333333299</v>
      </c>
    </row>
    <row r="129" spans="1:10" x14ac:dyDescent="0.25">
      <c r="A129" s="8" t="s">
        <v>102</v>
      </c>
      <c r="B129" s="8">
        <v>3</v>
      </c>
      <c r="C129" s="8">
        <v>185</v>
      </c>
      <c r="D129" s="8">
        <v>177</v>
      </c>
      <c r="E129" s="8">
        <v>191</v>
      </c>
      <c r="F129" s="8">
        <v>5.8878405775516898</v>
      </c>
      <c r="G129" s="8">
        <v>0</v>
      </c>
      <c r="H129" s="8">
        <v>1.2660311190449001E-2</v>
      </c>
      <c r="I129" s="8">
        <v>5.6180130907617698E-2</v>
      </c>
      <c r="J129" s="8">
        <v>4544</v>
      </c>
    </row>
    <row r="130" spans="1:10" x14ac:dyDescent="0.25">
      <c r="A130" s="8" t="s">
        <v>103</v>
      </c>
      <c r="B130" s="8">
        <v>3</v>
      </c>
      <c r="C130" s="8">
        <v>189</v>
      </c>
      <c r="D130" s="8">
        <v>175</v>
      </c>
      <c r="E130" s="8">
        <v>207</v>
      </c>
      <c r="F130" s="8">
        <v>13.2748718344931</v>
      </c>
      <c r="G130" s="8">
        <v>0</v>
      </c>
      <c r="H130" s="8">
        <v>1.26618073463806E-2</v>
      </c>
      <c r="I130" s="8">
        <v>4.95591053166929E-2</v>
      </c>
      <c r="J130" s="8">
        <v>4008</v>
      </c>
    </row>
    <row r="131" spans="1:10" x14ac:dyDescent="0.25">
      <c r="A131" s="8" t="s">
        <v>104</v>
      </c>
      <c r="B131" s="8">
        <v>3</v>
      </c>
      <c r="C131" s="8">
        <v>176</v>
      </c>
      <c r="D131" s="8">
        <v>173</v>
      </c>
      <c r="E131" s="8">
        <v>179</v>
      </c>
      <c r="F131" s="8">
        <v>2.4944382578486399</v>
      </c>
      <c r="G131" s="8">
        <v>0</v>
      </c>
      <c r="H131" s="8">
        <v>1.26626090039591E-2</v>
      </c>
      <c r="I131" s="8">
        <v>2.4471975799643698E-2</v>
      </c>
      <c r="J131" s="8">
        <v>1979</v>
      </c>
    </row>
    <row r="132" spans="1:10" x14ac:dyDescent="0.25">
      <c r="A132" s="8" t="s">
        <v>105</v>
      </c>
      <c r="B132" s="8">
        <v>3</v>
      </c>
      <c r="C132" s="8">
        <v>174</v>
      </c>
      <c r="D132" s="8">
        <v>168</v>
      </c>
      <c r="E132" s="8">
        <v>185</v>
      </c>
      <c r="F132" s="8">
        <v>7.4087035902977298</v>
      </c>
      <c r="G132" s="8">
        <v>0</v>
      </c>
      <c r="H132" s="8">
        <v>1.2662448664322701E-2</v>
      </c>
      <c r="I132" s="8">
        <v>2.1751217969280898E-2</v>
      </c>
      <c r="J132" s="8">
        <v>1759</v>
      </c>
    </row>
    <row r="133" spans="1:10" x14ac:dyDescent="0.25">
      <c r="A133" s="8" t="s">
        <v>106</v>
      </c>
      <c r="B133" s="8">
        <v>3</v>
      </c>
      <c r="C133" s="8">
        <v>136</v>
      </c>
      <c r="D133" s="8">
        <v>133</v>
      </c>
      <c r="E133" s="8">
        <v>139</v>
      </c>
      <c r="F133" s="8">
        <v>2.6246692913382699</v>
      </c>
      <c r="G133" s="8">
        <v>0</v>
      </c>
      <c r="H133" s="8">
        <v>1.26643195461107E-2</v>
      </c>
      <c r="I133" s="8">
        <v>7.2968247384818004E-3</v>
      </c>
      <c r="J133" s="8">
        <v>590</v>
      </c>
    </row>
    <row r="134" spans="1:10" x14ac:dyDescent="0.25">
      <c r="A134" s="8" t="s">
        <v>55</v>
      </c>
      <c r="B134" s="8">
        <v>3</v>
      </c>
      <c r="C134" s="8">
        <v>1853</v>
      </c>
      <c r="D134" s="8">
        <v>1791</v>
      </c>
      <c r="E134" s="8">
        <v>1970</v>
      </c>
      <c r="F134" s="8">
        <v>82.780835141151499</v>
      </c>
      <c r="G134" s="8">
        <v>0</v>
      </c>
      <c r="H134" s="8">
        <v>1.2576559807830101E-2</v>
      </c>
      <c r="I134" s="8">
        <v>0.72389728461593195</v>
      </c>
      <c r="J134" s="8">
        <v>58940.666666666599</v>
      </c>
    </row>
    <row r="135" spans="1:10" x14ac:dyDescent="0.25">
      <c r="A135" s="8" t="s">
        <v>20</v>
      </c>
      <c r="B135" s="8">
        <v>93</v>
      </c>
      <c r="C135" s="8">
        <v>2835</v>
      </c>
      <c r="D135" s="8">
        <v>133</v>
      </c>
      <c r="E135" s="8">
        <v>12443</v>
      </c>
      <c r="F135" s="8">
        <v>2585.5633300776099</v>
      </c>
      <c r="G135" s="8">
        <v>0</v>
      </c>
      <c r="H135" s="8">
        <v>0.260752537430606</v>
      </c>
      <c r="I135" s="8">
        <v>21.560373061879599</v>
      </c>
      <c r="J135" s="8">
        <v>84669.634408602098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last run</vt:lpstr>
      <vt:lpstr>ResponseTime</vt:lpstr>
      <vt:lpstr>Other runs</vt:lpstr>
      <vt:lpstr>Throughput</vt:lpstr>
      <vt:lpstr>Labels and links</vt:lpstr>
      <vt:lpstr>8 dec</vt:lpstr>
      <vt:lpstr>9 dec</vt:lpstr>
      <vt:lpstr>10 dec</vt:lpstr>
      <vt:lpstr>11 dec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gabikis</dc:creator>
  <cp:lastModifiedBy>Hori</cp:lastModifiedBy>
  <dcterms:created xsi:type="dcterms:W3CDTF">2014-11-11T12:54:33Z</dcterms:created>
  <dcterms:modified xsi:type="dcterms:W3CDTF">2026-08-28T12:00:03Z</dcterms:modified>
</cp:coreProperties>
</file>